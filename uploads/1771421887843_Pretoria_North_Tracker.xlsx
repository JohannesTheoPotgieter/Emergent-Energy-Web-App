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81" documentId="13_ncr:1_{9CDC6338-D517-4B8F-B28F-B956AA8DF724}" xr6:coauthVersionLast="47" xr6:coauthVersionMax="47" xr10:uidLastSave="{E901F49F-5640-4B2B-BC3E-13F814BBBDA5}"/>
  <bookViews>
    <workbookView xWindow="-98" yWindow="-98" windowWidth="21795" windowHeight="12975" tabRatio="683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24" i="18" l="1"/>
  <c r="W103" i="18"/>
  <c r="W86" i="18"/>
  <c r="Q100" i="18"/>
  <c r="Q99" i="18"/>
  <c r="Q38" i="18"/>
  <c r="P7" i="18"/>
  <c r="I40" i="2"/>
  <c r="W32" i="18"/>
  <c r="Q7" i="18"/>
  <c r="W131" i="18"/>
  <c r="EQ11" i="6" s="1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<sst xmlns="http://schemas.openxmlformats.org/spreadsheetml/2006/main" count="919" uniqueCount="542">
  <si>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</si>
  <si>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</si>
  <si>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</si>
  <si>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</si>
  <si>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</si>
  <si>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</si>
  <si>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</si>
  <si>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</si>
  <si>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</si>
  <si>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</si>
  <si>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</si>
  <si>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</si>
  <si>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</si>
  <si>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</si>
  <si>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</si>
  <si>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</si>
  <si>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</si>
  <si>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</si>
  <si>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</si>
  <si>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</si>
  <si>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</si>
  <si>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</si>
  <si>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</si>
  <si>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</si>
  <si>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</si>
  <si>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</si>
  <si>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</si>
  <si>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</si>
  <si>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</si>
  <si>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</si>
  <si>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</si>
  <si>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</si>
  <si>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</si>
  <si>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</si>
  <si>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</si>
  <si>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</si>
  <si>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</si>
  <si>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</si>
  <si>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</si>
  <si>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</si>
  <si>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</si>
  <si>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</si>
  <si>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</si>
  <si>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</si>
  <si>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</si>
  <si>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</si>
  <si>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</si>
  <si>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</si>
  <si>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</si>
  <si>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</si>
  <si>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</si>
  <si>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</si>
  <si>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</si>
  <si>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</si>
  <si>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</si>
  <si>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</si>
  <si>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</si>
  <si>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</si>
  <si>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</si>
  <si>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</si>
  <si>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</si>
  <si>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</si>
  <si>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</si>
  <si>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</si>
  <si>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</si>
  <si>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</si>
  <si>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</si>
  <si>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</si>
  <si>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</si>
  <si>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</si>
  <si>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</si>
  <si>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</si>
  <si>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</si>
  <si>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</si>
  <si>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</si>
  <si>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</si>
  <si>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</si>
  <si>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</si>
  <si>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</si>
  <si>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</si>
  <si>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</si>
  <si>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</si>
  <si>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</si>
  <si>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</si>
  <si>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</si>
  <si>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</si>
  <si>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</si>
  <si>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</si>
  <si>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</si>
  <si>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</si>
  <si>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</si>
  <si>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</si>
  <si>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</si>
  <si>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</si>
  <si>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</si>
  <si>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</si>
  <si>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</si>
  <si>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</si>
  <si>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</si>
  <si>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</si>
  <si>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</si>
  <si>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</si>
  <si>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</si>
  <si>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</si>
  <si>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</si>
  <si>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</si>
  <si>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</si>
  <si>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</si>
  <si>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</si>
  <si>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</si>
  <si>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</si>
  <si>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</si>
  <si>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</si>
  <si>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</si>
  <si>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</si>
  <si>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</si>
  <si>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</si>
  <si>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</si>
  <si>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</si>
  <si>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</si>
  <si>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</si>
  <si>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</si>
  <si>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</si>
  <si>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</si>
  <si>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</si>
  <si>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</si>
  <si>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</si>
  <si>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</si>
  <si>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</si>
  <si>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</si>
  <si>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</si>
  <si>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</si>
  <si>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</si>
  <si>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</si>
  <si>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</si>
  <si>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</si>
  <si>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</si>
  <si>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</si>
  <si>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</si>
  <si>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</si>
  <si>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</si>
  <si>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</si>
  <si>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</si>
  <si>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</si>
  <si>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</si>
  <si>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</si>
  <si>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</si>
  <si>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</si>
  <si>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</si>
  <si>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</si>
  <si>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</si>
  <si>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</si>
  <si>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</si>
  <si>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</si>
  <si>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</si>
  <si>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</si>
  <si>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</si>
  <si>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</si>
  <si>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</si>
  <si>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</si>
  <si>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</si>
  <si>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</si>
  <si>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</si>
  <si>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</si>
  <si>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</si>
  <si>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</si>
  <si>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</si>
  <si>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</si>
  <si>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</si>
  <si>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</si>
  <si>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</si>
  <si>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</si>
  <si>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</si>
  <si>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</si>
  <si>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</si>
  <si>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</si>
  <si>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</si>
  <si>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</si>
  <si>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</si>
  <si>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</si>
  <si>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</si>
  <si>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</si>
  <si>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</si>
  <si>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</si>
  <si>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</si>
  <si>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</si>
  <si>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</si>
  <si>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</si>
  <si>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</si>
  <si>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</si>
  <si>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</si>
  <si>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</si>
  <si>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</si>
  <si>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</si>
  <si>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</si>
  <si>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</si>
  <si>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</si>
  <si>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</si>
  <si>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</si>
  <si>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</si>
  <si>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</si>
  <si>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</si>
  <si>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</si>
  <si>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</si>
  <si>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</si>
  <si>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</si>
  <si>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</si>
  <si>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</si>
  <si>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</si>
  <si>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</si>
  <si>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</si>
  <si>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</si>
  <si>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</si>
  <si>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</si>
  <si>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</si>
  <si>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</si>
  <si>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</si>
  <si>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</si>
  <si>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</si>
  <si>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</si>
  <si>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</si>
  <si>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</si>
  <si>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</si>
  <si>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</si>
  <si>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</si>
  <si>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</si>
  <si>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</si>
  <si>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</si>
  <si>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</si>
  <si>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</si>
  <si>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</si>
  <si>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</si>
  <si>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</si>
  <si>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</si>
  <si>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</si>
  <si>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</si>
  <si>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</si>
  <si>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</si>
  <si>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</si>
  <si>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</si>
  <si>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</si>
  <si>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</si>
  <si>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</si>
  <si>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</si>
  <si>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</si>
  <si>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</si>
  <si>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</si>
  <si>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</si>
  <si>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</si>
  <si>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</si>
  <si>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</si>
  <si>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</si>
  <si>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</si>
  <si>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</si>
  <si>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</si>
  <si>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</si>
  <si>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</si>
  <si>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</si>
  <si>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</si>
  <si>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</si>
  <si>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</si>
  <si>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</si>
  <si>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</si>
  <si>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</si>
  <si>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</si>
  <si>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</si>
  <si>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</si>
  <si>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</si>
  <si>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</si>
  <si>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</si>
  <si>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</si>
  <si>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</si>
  <si>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</si>
  <si>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</si>
  <si>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</si>
  <si>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</si>
  <si>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</si>
  <si>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</si>
  <si>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</si>
  <si>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</si>
  <si>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</si>
  <si>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</si>
  <si>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</si>
  <si>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</si>
  <si>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</si>
  <si>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</si>
  <si>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</si>
  <si>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</si>
  <si>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</si>
  <si>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</si>
  <si>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</si>
  <si>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</si>
  <si>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</si>
  <si>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</si>
  <si>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</si>
  <si>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</si>
  <si>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</si>
  <si>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</si>
  <si>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</si>
  <si>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</si>
  <si>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</si>
  <si>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</si>
  <si>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</si>
  <si>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</si>
  <si>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</si>
  <si>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</si>
  <si>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</si>
  <si>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</si>
  <si>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</si>
  <si>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</si>
  <si>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</si>
  <si>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</si>
  <si>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</si>
  <si>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</si>
  <si>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</si>
  <si>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</si>
  <si>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</si>
  <si>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</si>
  <si>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</si>
  <si>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</si>
  <si>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</si>
  <si>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</si>
  <si>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</si>
  <si>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</si>
  <si>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</si>
  <si>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</si>
  <si>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</si>
  <si>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</si>
  <si>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</si>
  <si>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</si>
  <si>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</si>
  <si>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</si>
  <si>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</si>
  <si>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</si>
  <si>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</si>
  <si>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</si>
  <si>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</si>
  <si>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</si>
  <si>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</si>
  <si>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</si>
  <si>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</si>
  <si>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</si>
  <si>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</si>
  <si>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</si>
  <si>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</si>
  <si>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</si>
  <si>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</si>
  <si>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</si>
  <si>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</si>
  <si>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</si>
  <si>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</si>
  <si>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</si>
  <si>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</si>
  <si>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</si>
  <si>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</si>
  <si>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</si>
  <si>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</si>
  <si>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</si>
  <si>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</si>
  <si>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</si>
  <si>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</si>
  <si>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</si>
  <si>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</si>
  <si>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</si>
  <si>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</si>
  <si>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</si>
  <si>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</si>
  <si>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</si>
  <si>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</si>
  <si>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</si>
  <si>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</si>
  <si>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</si>
  <si>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</si>
  <si>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</si>
  <si>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</si>
  <si>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</si>
  <si>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</si>
  <si>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</si>
  <si>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</si>
  <si>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</si>
  <si>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</si>
  <si>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</si>
  <si>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</si>
  <si>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</si>
  <si>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</si>
  <si>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</si>
  <si>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</si>
  <si>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</si>
  <si>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</si>
  <si>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</si>
  <si>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</si>
  <si>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</si>
  <si>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</si>
  <si>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</si>
  <si>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</si>
  <si>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</si>
  <si>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</si>
  <si>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</si>
  <si>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</si>
  <si>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</si>
  <si>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</si>
  <si>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</si>
  <si>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</si>
  <si>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</si>
  <si>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</si>
  <si>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</si>
  <si>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</si>
  <si>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</si>
  <si>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</si>
  <si>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</si>
  <si>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</si>
  <si>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</si>
  <si>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</si>
  <si>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</si>
  <si>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</si>
  <si>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</si>
  <si>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</si>
  <si>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</si>
  <si>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</si>
  <si>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</si>
  <si>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</si>
  <si>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</si>
  <si>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</si>
  <si>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</si>
  <si>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</si>
  <si>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</si>
  <si>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</si>
  <si>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</si>
  <si>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</si>
  <si>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</si>
  <si>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</si>
  <si>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</si>
  <si>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</si>
  <si>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</si>
  <si>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</si>
  <si>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</si>
  <si>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</si>
  <si>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</si>
  <si>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</si>
  <si>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</si>
  <si>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</si>
  <si>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</si>
  <si>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</si>
  <si>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</si>
  <si>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</si>
  <si>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</si>
  <si>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</si>
  <si>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</si>
  <si>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</si>
  <si>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</si>
  <si>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</si>
  <si>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</si>
  <si>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</si>
  <si>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</si>
  <si>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</si>
  <si>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</si>
  <si>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</si>
  <si>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</si>
  <si>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</si>
  <si>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</si>
  <si>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</si>
  <si>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</si>
  <si>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</si>
  <si>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</si>
  <si>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</si>
  <si>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</si>
  <si>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</si>
  <si>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</si>
  <si>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</si>
  <si>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</si>
  <si>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</si>
  <si>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</si>
  <si>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</si>
  <si>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</si>
  <si>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</si>
  <si>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</si>
  <si>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</si>
  <si>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</si>
  <si>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</si>
  <si>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</si>
  <si>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</si>
  <si>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</si>
  <si>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</si>
  <si>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</si>
  <si>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</si>
  <si>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</si>
  <si>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</si>
  <si>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</si>
  <si>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</si>
  <si>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</si>
  <si>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</si>
  <si>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</si>
  <si>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</si>
  <si>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</si>
  <si>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</si>
  <si>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</si>
  <si>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</si>
  <si>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</si>
  <si>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</si>
  <si>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</si>
  <si>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</si>
  <si>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</si>
  <si>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</si>
  <si>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</si>
  <si>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</si>
  <si>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</si>
  <si>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</si>
  <si>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</si>
  <si>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</si>
  <si>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</si>
  <si>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</si>
  <si>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</si>
  <si>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</si>
  <si>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</si>
  <si>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</si>
  <si>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</si>
  <si>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</si>
  <si>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</si>
  <si>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</si>
  <si>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</si>
  <si>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</si>
  <si>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</si>
  <si>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</si>
  <si>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</si>
  <si>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</si>
  <si>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</si>
  <si>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</si>
  <si>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</si>
  <si>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</si>
  <si>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</si>
  <si>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</si>
  <si>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</si>
  <si>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</si>
  <si>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</si>
  <si>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</si>
  <si>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</si>
  <si>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</si>
  <si>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</si>
  <si>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</si>
  <si>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</si>
  <si>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</si>
  <si>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 xml:space="preserve">all docs ready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</si>
</sst>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4523399.3500000006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116558.34748514835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3920714.7900000005</c:v>
                </c:pt>
                <c:pt idx="58">
                  <c:v>3920714.7900000005</c:v>
                </c:pt>
                <c:pt idx="59">
                  <c:v>3920714.7900000005</c:v>
                </c:pt>
                <c:pt idx="60">
                  <c:v>3920714.7900000005</c:v>
                </c:pt>
                <c:pt idx="61">
                  <c:v>3920714.7900000005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840758.2099999995</c:v>
                </c:pt>
                <c:pt idx="58">
                  <c:v>840758.2099999995</c:v>
                </c:pt>
                <c:pt idx="59">
                  <c:v>840758.2099999995</c:v>
                </c:pt>
                <c:pt idx="60">
                  <c:v>840758.2099999995</c:v>
                </c:pt>
                <c:pt idx="61">
                  <c:v>840758.2099999995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3.9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46484375" bestFit="1" customWidth="1"/>
    <col min="5" max="5" width="10.33203125" customWidth="1"/>
    <col min="6" max="6" width="33.46484375" customWidth="1"/>
  </cols>
  <sheetData>
    <row r="1" spans="2:10" ht="14.65" thickBot="1"/>
    <row r="2" spans="2:10" ht="15" thickTop="1" thickBot="1">
      <c r="B2" s="733" t="s">
        <v>58</v>
      </c>
      <c r="C2" s="734"/>
      <c r="D2" s="734"/>
      <c r="E2" s="734"/>
      <c r="F2" s="73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3" t="s">
        <v>69</v>
      </c>
      <c r="C16" s="734"/>
      <c r="D16" s="734"/>
      <c r="E16" s="734"/>
      <c r="F16" s="735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zoomScale="70" zoomScaleNormal="70" workbookViewId="0">
      <selection activeCell="M2" sqref="M2:N4"/>
    </sheetView>
  </sheetViews>
  <sheetFormatPr defaultColWidth="8.46484375" defaultRowHeight="13.5"/>
  <cols>
    <col min="1" max="1" width="1.46484375" style="112" customWidth="1"/>
    <col min="2" max="2" width="6.46484375" style="171" bestFit="1" customWidth="1"/>
    <col min="3" max="3" width="50.53125" style="24" bestFit="1" customWidth="1"/>
    <col min="4" max="4" width="2.46484375" style="112" customWidth="1"/>
    <col min="5" max="5" width="14.53125" style="24" customWidth="1"/>
    <col min="6" max="6" width="10.33203125" style="168" customWidth="1"/>
    <col min="7" max="7" width="13.53125" style="64" customWidth="1"/>
    <col min="8" max="8" width="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4" width="12.53125" style="112" customWidth="1"/>
    <col min="15" max="15" width="2.53125" style="112" customWidth="1"/>
    <col min="16" max="16" width="39.46484375" style="112" bestFit="1" customWidth="1"/>
    <col min="17" max="17" width="1.46484375" style="112" customWidth="1"/>
    <col min="18" max="18" width="5.53125" style="3" customWidth="1"/>
    <col min="19" max="26" width="8.46484375" style="112"/>
    <col min="27" max="16384" width="8.4648437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46070</v>
      </c>
      <c r="P1" s="410">
        <f ca="1">TODAY()</f>
        <v>46070</v>
      </c>
      <c r="R1" s="3"/>
    </row>
    <row r="2" spans="2:29" ht="13.9">
      <c r="B2" s="176"/>
      <c r="C2" s="177" t="s">
        <v>0</v>
      </c>
      <c r="D2" s="178"/>
      <c r="E2" s="716" t="s">
        <v>73</v>
      </c>
      <c r="F2" s="717"/>
      <c r="G2" s="717"/>
      <c r="H2" s="718"/>
      <c r="M2" s="727" t="s">
        <v>541</v>
      </c>
      <c r="N2" s="728"/>
      <c r="O2" s="411">
        <v>0</v>
      </c>
      <c r="P2" s="411">
        <v>1</v>
      </c>
    </row>
    <row r="3" spans="2:29" s="112" customFormat="1" ht="13.9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M3" s="728"/>
      <c r="N3" s="728"/>
      <c r="R3" s="3"/>
    </row>
    <row r="4" spans="2:29" s="112" customFormat="1" ht="13.9">
      <c r="B4" s="179"/>
      <c r="C4" s="180" t="s">
        <v>75</v>
      </c>
      <c r="D4" s="178"/>
      <c r="E4" s="719" t="s">
        <v>76</v>
      </c>
      <c r="F4" s="720"/>
      <c r="G4" s="720"/>
      <c r="H4" s="721"/>
      <c r="J4" s="113"/>
      <c r="M4" s="728"/>
      <c r="N4" s="728"/>
      <c r="R4" s="3"/>
    </row>
    <row r="5" spans="2:29" s="112" customFormat="1" ht="13.9">
      <c r="B5" s="179"/>
      <c r="C5" s="180" t="s">
        <v>77</v>
      </c>
      <c r="D5" s="178"/>
      <c r="E5" s="719" t="s">
        <v>78</v>
      </c>
      <c r="F5" s="720"/>
      <c r="G5" s="720"/>
      <c r="H5" s="721"/>
      <c r="J5" s="113"/>
      <c r="R5" s="3"/>
    </row>
    <row r="6" spans="2:29" ht="13.9">
      <c r="B6" s="184"/>
      <c r="C6" s="185" t="s">
        <v>79</v>
      </c>
      <c r="D6" s="178"/>
      <c r="E6" s="722">
        <v>4761473</v>
      </c>
      <c r="F6" s="723"/>
      <c r="G6" s="723"/>
      <c r="H6" s="724"/>
    </row>
    <row r="7" spans="2:29" s="112" customFormat="1" ht="13.9">
      <c r="B7" s="167"/>
      <c r="C7" s="702" t="s">
        <v>80</v>
      </c>
      <c r="D7" s="703"/>
      <c r="E7" s="704" t="s">
        <v>81</v>
      </c>
      <c r="F7" s="168"/>
      <c r="G7" s="186"/>
      <c r="J7" s="113"/>
      <c r="R7" s="3"/>
    </row>
    <row r="8" spans="2:29" ht="30" customHeight="1">
      <c r="B8" s="713" t="s">
        <v>82</v>
      </c>
      <c r="C8" s="714" t="s">
        <v>83</v>
      </c>
      <c r="D8" s="215"/>
      <c r="E8" s="715" t="s">
        <v>84</v>
      </c>
      <c r="F8" s="237" t="s">
        <v>85</v>
      </c>
      <c r="G8" s="715" t="s">
        <v>86</v>
      </c>
      <c r="H8" s="238"/>
      <c r="I8" s="715" t="s">
        <v>87</v>
      </c>
      <c r="J8" s="237" t="s">
        <v>85</v>
      </c>
      <c r="K8" s="715" t="s">
        <v>88</v>
      </c>
      <c r="M8" s="417" t="s">
        <v>60</v>
      </c>
      <c r="N8" s="685" t="s">
        <v>89</v>
      </c>
      <c r="P8" s="725" t="s">
        <v>90</v>
      </c>
      <c r="AA8" s="112"/>
      <c r="AB8" s="112"/>
      <c r="AC8" s="112"/>
    </row>
    <row r="9" spans="2:29" ht="13.9">
      <c r="B9" s="713"/>
      <c r="C9" s="714"/>
      <c r="D9" s="215"/>
      <c r="E9" s="715"/>
      <c r="F9" s="126">
        <f>G41-E19</f>
        <v>63</v>
      </c>
      <c r="G9" s="715"/>
      <c r="H9" s="238"/>
      <c r="I9" s="715"/>
      <c r="J9" s="127">
        <f>K41-I19</f>
        <v>70</v>
      </c>
      <c r="K9" s="715"/>
      <c r="M9" s="362">
        <f>AVERAGE(M11,M18,M21,M28,M35,M39,M46,M43)</f>
        <v>0.98281249999999998</v>
      </c>
      <c r="N9" s="362">
        <f ca="1">AVERAGE(N11,N18,N21,N28,N35,N39,N46,N43)</f>
        <v>0.95049368833561354</v>
      </c>
      <c r="O9" s="376"/>
      <c r="P9" s="726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3.9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3.9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3.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 ht="13.9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 ht="13.9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 ht="13.9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 ht="13.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/>
      <c r="Z40" s="24"/>
    </row>
    <row r="41" spans="2:29" ht="13.9">
      <c r="B41" s="248" t="s">
        <v>133</v>
      </c>
      <c r="C41" s="243" t="s">
        <v>134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 ht="13.9">
      <c r="B43" s="244">
        <v>7</v>
      </c>
      <c r="C43" s="245" t="s">
        <v>135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 ht="13.9">
      <c r="B44" s="248">
        <v>7.1</v>
      </c>
      <c r="C44" s="243" t="s">
        <v>136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 ht="13.9">
      <c r="B46" s="244">
        <v>8</v>
      </c>
      <c r="C46" s="245" t="s">
        <v>137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78</v>
      </c>
      <c r="K46" s="246">
        <f>MAX(K47:K52)</f>
        <v>46080</v>
      </c>
      <c r="L46" s="114"/>
      <c r="M46" s="361">
        <f>(J47*M47+J48*M48+J49*M49+J50*M50+J51*M51+J52*M52)/SUM(J47:J52)</f>
        <v>0.92500000000000004</v>
      </c>
      <c r="N46" s="361">
        <f ca="1">(K47*N47+K48*N48+K49*N49+K50*N50+K51*N51+K52*N52)/SUM(K47:K52)</f>
        <v>0.6664495066849081</v>
      </c>
      <c r="O46" s="379">
        <f>J46*M46</f>
        <v>72.150000000000006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 ht="13.9">
      <c r="B47" s="248">
        <v>8.1</v>
      </c>
      <c r="C47" s="243" t="s">
        <v>138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 ht="13.9">
      <c r="B48" s="248">
        <v>8.1999999999999993</v>
      </c>
      <c r="C48" s="243" t="s">
        <v>139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1</v>
      </c>
      <c r="N48" s="254">
        <f t="shared" ca="1" si="5"/>
        <v>1</v>
      </c>
      <c r="O48" s="379"/>
      <c r="P48" s="122" t="s">
        <v>140</v>
      </c>
      <c r="Z48" s="24"/>
    </row>
    <row r="49" spans="2:29" ht="13.9">
      <c r="B49" s="248">
        <v>8.3000000000000007</v>
      </c>
      <c r="C49" s="243" t="s">
        <v>141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 ht="13.9">
      <c r="B50" s="248">
        <v>8.4</v>
      </c>
      <c r="C50" s="243" t="s">
        <v>142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1</v>
      </c>
      <c r="N50" s="254">
        <f t="shared" ca="1" si="5"/>
        <v>1</v>
      </c>
      <c r="O50" s="379"/>
      <c r="P50" s="122"/>
      <c r="Z50" s="24"/>
    </row>
    <row r="51" spans="2:29" ht="13.9">
      <c r="B51" s="248">
        <v>8.5</v>
      </c>
      <c r="C51" s="243" t="s">
        <v>143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46077</v>
      </c>
      <c r="J51" s="251">
        <v>1</v>
      </c>
      <c r="K51" s="253">
        <f>WORKDAY.INTL(I51,J51,1,Data!$C$3:$C$14)</f>
        <v>46078</v>
      </c>
      <c r="M51" s="254">
        <v>0</v>
      </c>
      <c r="N51" s="254">
        <f t="shared" ca="1" si="5"/>
        <v>0</v>
      </c>
      <c r="O51" s="379"/>
      <c r="P51" s="122" t="s">
        <v>144</v>
      </c>
      <c r="Z51" s="24"/>
    </row>
    <row r="52" spans="2:29" ht="13.9">
      <c r="B52" s="248">
        <v>8.6</v>
      </c>
      <c r="C52" s="243" t="s">
        <v>145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v>46075</v>
      </c>
      <c r="J52" s="251">
        <v>5</v>
      </c>
      <c r="K52" s="253">
        <f>WORKDAY.INTL(I52,J52,1,Data!$C$3:$C$14)</f>
        <v>46080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P8:P9"/>
    <mergeCell ref="K8:K9"/>
    <mergeCell ref="M2:N4"/>
    <mergeCell ref="B8:B9"/>
    <mergeCell ref="C8:C9"/>
    <mergeCell ref="E8:E9"/>
    <mergeCell ref="G8:G9"/>
    <mergeCell ref="I8:I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6484375" defaultRowHeight="14.25"/>
  <cols>
    <col min="1" max="1" width="5.53125" style="93" customWidth="1"/>
    <col min="2" max="2" width="5.53125" style="130" customWidth="1"/>
    <col min="3" max="4" width="23.46484375" style="129" customWidth="1"/>
    <col min="5" max="5" width="6.53125" style="129" customWidth="1"/>
    <col min="6" max="6" width="16.46484375" style="129" customWidth="1"/>
    <col min="7" max="7" width="11.59765625" style="129" bestFit="1" customWidth="1"/>
    <col min="8" max="8" width="15.46484375" style="129" customWidth="1"/>
    <col min="9" max="9" width="1.46484375" style="129" customWidth="1"/>
    <col min="10" max="10" width="3.46484375" style="93" customWidth="1"/>
    <col min="11" max="11" width="1.46484375" style="175" customWidth="1"/>
    <col min="12" max="12" width="29.46484375" style="93" customWidth="1"/>
    <col min="13" max="13" width="1.46484375" style="129" customWidth="1"/>
    <col min="14" max="14" width="29.46484375" style="129" customWidth="1"/>
    <col min="15" max="15" width="1.46484375" style="93" customWidth="1"/>
    <col min="16" max="16" width="18.59765625" style="129" bestFit="1" customWidth="1"/>
    <col min="17" max="17" width="15.46484375" style="129" bestFit="1" customWidth="1"/>
    <col min="18" max="18" width="19" style="129" customWidth="1"/>
    <col min="19" max="19" width="16.33203125" style="93" bestFit="1" customWidth="1"/>
    <col min="20" max="20" width="18.59765625" style="129" bestFit="1" customWidth="1"/>
    <col min="21" max="21" width="15.4648437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29"/>
    <col min="29" max="29" width="12.53125" style="129" bestFit="1" customWidth="1"/>
    <col min="30" max="16384" width="8.4648437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146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147</v>
      </c>
      <c r="F3" s="125" t="s">
        <v>148</v>
      </c>
      <c r="J3" s="141"/>
      <c r="L3" s="415" t="s">
        <v>149</v>
      </c>
      <c r="N3" s="415" t="s">
        <v>150</v>
      </c>
      <c r="P3" s="690" t="s">
        <v>151</v>
      </c>
      <c r="Q3" s="690" t="s">
        <v>152</v>
      </c>
      <c r="R3" s="690" t="s">
        <v>153</v>
      </c>
      <c r="S3" s="690" t="s">
        <v>154</v>
      </c>
      <c r="T3" s="690" t="s">
        <v>155</v>
      </c>
      <c r="U3" s="690" t="s">
        <v>156</v>
      </c>
    </row>
    <row r="4" spans="1:21" s="93" customFormat="1" ht="13.15">
      <c r="B4" s="352">
        <v>1</v>
      </c>
      <c r="C4" s="353" t="s">
        <v>157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158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431289.88999999996</v>
      </c>
    </row>
    <row r="5" spans="1:21" s="93" customFormat="1" ht="15" customHeight="1">
      <c r="B5" s="352">
        <v>2</v>
      </c>
      <c r="C5" s="353" t="s">
        <v>159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160</v>
      </c>
      <c r="H5" s="709" t="s">
        <v>161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162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163</v>
      </c>
    </row>
    <row r="7" spans="1:21" s="93" customFormat="1" ht="15" customHeight="1" thickBot="1">
      <c r="B7" s="352">
        <v>4</v>
      </c>
      <c r="C7" s="353" t="s">
        <v>164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165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82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84" t="s">
        <v>173</v>
      </c>
    </row>
    <row r="13" spans="1:21" s="93" customFormat="1" ht="13.15">
      <c r="B13" s="352">
        <v>1</v>
      </c>
      <c r="C13" s="738" t="s">
        <v>174</v>
      </c>
      <c r="D13" s="739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38" t="s">
        <v>176</v>
      </c>
      <c r="D14" s="739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175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2.75">
      <c r="B15" s="352">
        <v>3</v>
      </c>
      <c r="C15" s="738" t="s">
        <v>177</v>
      </c>
      <c r="D15" s="739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175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2.75">
      <c r="B16" s="352">
        <v>4</v>
      </c>
      <c r="C16" s="736" t="s">
        <v>178</v>
      </c>
      <c r="D16" s="737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175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2.75">
      <c r="B17" s="352">
        <v>5</v>
      </c>
      <c r="C17" s="736" t="s">
        <v>179</v>
      </c>
      <c r="D17" s="737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175</v>
      </c>
      <c r="N17" s="138">
        <v>45778</v>
      </c>
      <c r="O17" s="129"/>
      <c r="P17" s="701">
        <v>46025</v>
      </c>
      <c r="R17" s="385"/>
    </row>
    <row r="18" spans="2:19" s="93" customFormat="1" ht="12.75">
      <c r="B18" s="352">
        <v>6</v>
      </c>
      <c r="C18" s="736" t="s">
        <v>54</v>
      </c>
      <c r="D18" s="737"/>
      <c r="E18" s="135">
        <v>0.05</v>
      </c>
      <c r="F18" s="136">
        <f t="shared" si="0"/>
        <v>238073.65000000002</v>
      </c>
      <c r="G18" s="355"/>
      <c r="H18" s="138">
        <f>'Project Plan'!K51+7</f>
        <v>46085</v>
      </c>
      <c r="J18" s="141"/>
      <c r="L18" s="369" t="s">
        <v>175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2.75">
      <c r="B19" s="352">
        <v>7</v>
      </c>
      <c r="C19" s="738" t="s">
        <v>180</v>
      </c>
      <c r="D19" s="73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181</v>
      </c>
      <c r="C23" s="145" t="s">
        <v>182</v>
      </c>
      <c r="D23" s="145"/>
      <c r="F23" s="146"/>
    </row>
    <row r="24" spans="2:19" s="93" customFormat="1" ht="12.75">
      <c r="C24" s="147" t="s">
        <v>183</v>
      </c>
      <c r="D24" s="148"/>
      <c r="F24" s="149"/>
    </row>
    <row r="25" spans="2:19" s="93" customFormat="1" ht="12.75">
      <c r="C25" s="147" t="s">
        <v>184</v>
      </c>
      <c r="D25" s="148"/>
    </row>
    <row r="26" spans="2:19" s="93" customFormat="1" ht="12.75">
      <c r="C26" s="150" t="s">
        <v>185</v>
      </c>
      <c r="D26" s="151"/>
    </row>
    <row r="27" spans="2:19" s="93" customFormat="1" ht="12.75">
      <c r="C27" s="152" t="s">
        <v>186</v>
      </c>
      <c r="D27" s="148"/>
    </row>
    <row r="28" spans="2:19" s="93" customFormat="1" ht="12.75">
      <c r="B28" s="117"/>
      <c r="C28" s="152" t="s">
        <v>187</v>
      </c>
      <c r="D28" s="148"/>
    </row>
    <row r="29" spans="2:19" s="93" customFormat="1" ht="12.75">
      <c r="B29" s="117"/>
      <c r="C29" s="93" t="s">
        <v>188</v>
      </c>
    </row>
    <row r="30" spans="2:19" s="93" customFormat="1" ht="27.75" customHeight="1">
      <c r="B30" s="117"/>
      <c r="C30" s="153" t="s">
        <v>189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15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15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0"/>
      <c r="C4" s="740"/>
      <c r="D4" s="740"/>
      <c r="E4" s="419"/>
      <c r="F4" s="220" t="s">
        <v>147</v>
      </c>
      <c r="G4" s="215"/>
      <c r="H4" s="220" t="s">
        <v>148</v>
      </c>
      <c r="I4" s="215"/>
      <c r="J4" s="221" t="s">
        <v>214</v>
      </c>
      <c r="K4" s="112"/>
      <c r="L4" s="112"/>
    </row>
    <row r="5" spans="1:12" ht="14.25" thickBot="1">
      <c r="A5" s="215"/>
      <c r="B5" s="741" t="s">
        <v>215</v>
      </c>
      <c r="C5" s="741"/>
      <c r="D5" s="741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 ht="13.9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 ht="13.9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 ht="13.9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 ht="13.9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70" zoomScaleNormal="70" workbookViewId="0">
      <pane ySplit="4" topLeftCell="A5" activePane="bottomLeft" state="frozen"/>
      <selection activeCell="X33" sqref="X33"/>
      <selection pane="bottomLeft" activeCell="R131" sqref="R131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8.46484375" style="70" hidden="1" customWidth="1"/>
    <col min="6" max="6" width="16.53125" style="480" hidden="1" customWidth="1"/>
    <col min="7" max="7" width="17.46484375" style="24" hidden="1" customWidth="1"/>
    <col min="8" max="8" width="17.46484375" style="112" hidden="1" customWidth="1"/>
    <col min="9" max="9" width="22.46484375" style="350" hidden="1" customWidth="1"/>
    <col min="10" max="10" width="22.46484375" style="350" bestFit="1" customWidth="1"/>
    <col min="11" max="12" width="5.53125" style="112" customWidth="1"/>
    <col min="13" max="13" width="25.53125" style="112" customWidth="1"/>
    <col min="14" max="14" width="48.46484375" style="112" customWidth="1"/>
    <col min="15" max="15" width="15.53125" style="112" customWidth="1"/>
    <col min="16" max="17" width="17.46484375" style="112" customWidth="1"/>
    <col min="18" max="18" width="53" style="112" bestFit="1" customWidth="1"/>
    <col min="19" max="19" width="39" style="112" bestFit="1" customWidth="1"/>
    <col min="20" max="23" width="17.46484375" style="112" customWidth="1"/>
    <col min="24" max="24" width="21.46484375" style="112" customWidth="1"/>
    <col min="25" max="25" width="29.4648437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5" t="s">
        <v>222</v>
      </c>
      <c r="C2" s="776"/>
      <c r="D2" s="776"/>
      <c r="E2" s="776"/>
      <c r="F2" s="776"/>
      <c r="G2" s="776"/>
      <c r="H2" s="684"/>
      <c r="I2" s="258">
        <f>SUM(I6:I170)</f>
        <v>4406841.0025148522</v>
      </c>
      <c r="J2" s="258">
        <f>SUM(J6:J170)</f>
        <v>4761472.8071953785</v>
      </c>
      <c r="L2" s="777" t="s">
        <v>223</v>
      </c>
      <c r="M2" s="778"/>
      <c r="N2" s="778"/>
      <c r="O2" s="778"/>
      <c r="P2" s="778"/>
      <c r="Q2" s="778"/>
      <c r="R2" s="779" t="s">
        <v>224</v>
      </c>
      <c r="S2" s="780"/>
      <c r="T2" s="780"/>
      <c r="U2" s="780"/>
      <c r="V2" s="780"/>
      <c r="W2" s="781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71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71" t="s">
        <v>229</v>
      </c>
      <c r="Q4" s="374" t="s">
        <v>234</v>
      </c>
      <c r="R4" s="627" t="s">
        <v>235</v>
      </c>
      <c r="S4" s="628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6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238</v>
      </c>
      <c r="D6" s="282" t="s">
        <v>239</v>
      </c>
      <c r="E6" s="283"/>
      <c r="F6" s="443"/>
      <c r="G6" s="397">
        <f>D171</f>
        <v>1110081.32</v>
      </c>
      <c r="H6" s="540">
        <v>45862</v>
      </c>
      <c r="I6" s="757">
        <f>SUM(G6:G11)</f>
        <v>1110081.32</v>
      </c>
      <c r="J6" s="757">
        <f>F171</f>
        <v>1233423.688888889</v>
      </c>
      <c r="K6" s="394"/>
      <c r="L6" s="281">
        <v>1</v>
      </c>
      <c r="M6" s="423" t="s">
        <v>240</v>
      </c>
      <c r="N6" s="282" t="s">
        <v>241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242</v>
      </c>
      <c r="S6" s="630" t="s">
        <v>243</v>
      </c>
      <c r="T6" s="661">
        <v>45808</v>
      </c>
      <c r="U6" s="664">
        <v>1233423.688888889</v>
      </c>
      <c r="V6" s="769">
        <f>J6-SUM(U6:U11)</f>
        <v>0</v>
      </c>
      <c r="W6" s="540">
        <v>45862</v>
      </c>
      <c r="X6" s="782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244</v>
      </c>
      <c r="E7" s="396"/>
      <c r="F7" s="465"/>
      <c r="G7" s="315"/>
      <c r="H7" s="578"/>
      <c r="I7" s="758"/>
      <c r="J7" s="758"/>
      <c r="K7" s="288"/>
      <c r="L7" s="311">
        <v>1</v>
      </c>
      <c r="M7" s="313" t="s">
        <v>240</v>
      </c>
      <c r="N7" s="395" t="s">
        <v>245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246</v>
      </c>
      <c r="T7" s="654">
        <v>45991</v>
      </c>
      <c r="U7" s="665">
        <v>0</v>
      </c>
      <c r="V7" s="770"/>
      <c r="W7" s="655">
        <v>46037</v>
      </c>
      <c r="X7" s="783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58"/>
      <c r="J8" s="758"/>
      <c r="K8" s="288"/>
      <c r="L8" s="311">
        <v>1</v>
      </c>
      <c r="M8" s="313" t="s">
        <v>240</v>
      </c>
      <c r="N8" s="491" t="s">
        <v>247</v>
      </c>
      <c r="O8" s="557"/>
      <c r="P8" s="450"/>
      <c r="Q8" s="315">
        <v>1000</v>
      </c>
      <c r="R8" s="594"/>
      <c r="S8" s="631" t="s">
        <v>246</v>
      </c>
      <c r="T8" s="654">
        <v>45991</v>
      </c>
      <c r="U8" s="665">
        <v>0</v>
      </c>
      <c r="V8" s="770"/>
      <c r="W8" s="655">
        <v>46037</v>
      </c>
      <c r="X8" s="783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58"/>
      <c r="J9" s="758"/>
      <c r="K9" s="288"/>
      <c r="L9" s="311">
        <v>1</v>
      </c>
      <c r="M9" s="313" t="s">
        <v>240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70"/>
      <c r="W9" s="579"/>
      <c r="X9" s="783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58"/>
      <c r="J10" s="758"/>
      <c r="K10" s="288"/>
      <c r="L10" s="311">
        <v>1</v>
      </c>
      <c r="M10" s="313" t="s">
        <v>240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70"/>
      <c r="W10" s="579"/>
      <c r="X10" s="783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59"/>
      <c r="J11" s="759"/>
      <c r="K11" s="289"/>
      <c r="L11" s="316">
        <v>1</v>
      </c>
      <c r="M11" s="425" t="s">
        <v>240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71"/>
      <c r="W11" s="580"/>
      <c r="X11" s="784"/>
      <c r="Y11" s="611" t="s">
        <v>248</v>
      </c>
      <c r="Z11" s="612" t="s">
        <v>249</v>
      </c>
    </row>
    <row r="12" spans="1:76" ht="14.2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250</v>
      </c>
      <c r="Z12" s="614">
        <f>G56</f>
        <v>673981.46086956526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63"/>
      <c r="G13" s="296">
        <f>D172</f>
        <v>280000</v>
      </c>
      <c r="H13" s="543">
        <v>45862</v>
      </c>
      <c r="I13" s="742">
        <f>SUM(G13:G19)</f>
        <v>280000</v>
      </c>
      <c r="J13" s="742">
        <f>F172</f>
        <v>311111.11111111112</v>
      </c>
      <c r="K13" s="297"/>
      <c r="L13" s="293">
        <v>2</v>
      </c>
      <c r="M13" s="426" t="s">
        <v>253</v>
      </c>
      <c r="N13" s="319" t="s">
        <v>254</v>
      </c>
      <c r="O13" s="560">
        <v>4</v>
      </c>
      <c r="P13" s="463">
        <v>68870</v>
      </c>
      <c r="Q13" s="296">
        <v>275481.40000000002</v>
      </c>
      <c r="R13" s="598" t="s">
        <v>242</v>
      </c>
      <c r="S13" s="635" t="s">
        <v>243</v>
      </c>
      <c r="T13" s="662">
        <v>45808</v>
      </c>
      <c r="U13" s="668">
        <v>311111.11111111112</v>
      </c>
      <c r="V13" s="795">
        <f>J13-SUM(U13:U19)</f>
        <v>0</v>
      </c>
      <c r="W13" s="543">
        <v>45862</v>
      </c>
      <c r="X13" s="745">
        <f>SUM(Q13:Q19)</f>
        <v>275481.40000000002</v>
      </c>
      <c r="Y13" s="613" t="s">
        <v>255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43"/>
      <c r="J14" s="743"/>
      <c r="K14" s="301"/>
      <c r="L14" s="298">
        <v>2</v>
      </c>
      <c r="M14" s="432" t="s">
        <v>253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96"/>
      <c r="W14" s="583"/>
      <c r="X14" s="746"/>
      <c r="Y14" s="613" t="s">
        <v>256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43"/>
      <c r="J15" s="743"/>
      <c r="K15" s="301"/>
      <c r="L15" s="298">
        <v>2</v>
      </c>
      <c r="M15" s="432" t="s">
        <v>253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96"/>
      <c r="W15" s="583"/>
      <c r="X15" s="746"/>
      <c r="Y15" s="613" t="s">
        <v>257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43"/>
      <c r="J16" s="743"/>
      <c r="K16" s="301"/>
      <c r="L16" s="298">
        <v>2</v>
      </c>
      <c r="M16" s="432" t="s">
        <v>253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96"/>
      <c r="W16" s="583"/>
      <c r="X16" s="746"/>
      <c r="Y16" s="613" t="s">
        <v>258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43"/>
      <c r="J17" s="743"/>
      <c r="K17" s="301"/>
      <c r="L17" s="298">
        <v>2</v>
      </c>
      <c r="M17" s="432" t="s">
        <v>253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96"/>
      <c r="W17" s="583"/>
      <c r="X17" s="746"/>
      <c r="Y17" s="613" t="s">
        <v>259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43"/>
      <c r="J18" s="743"/>
      <c r="K18" s="301"/>
      <c r="L18" s="298">
        <v>2</v>
      </c>
      <c r="M18" s="432" t="s">
        <v>253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96"/>
      <c r="W18" s="583"/>
      <c r="X18" s="746"/>
      <c r="Y18" s="613" t="s">
        <v>260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44"/>
      <c r="J19" s="744"/>
      <c r="K19" s="306"/>
      <c r="L19" s="401">
        <v>2</v>
      </c>
      <c r="M19" s="427" t="s">
        <v>253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97"/>
      <c r="W19" s="584"/>
      <c r="X19" s="747"/>
      <c r="Y19" s="613" t="s">
        <v>261</v>
      </c>
      <c r="Z19" s="614">
        <v>0</v>
      </c>
    </row>
    <row r="20" spans="1:26" ht="14.2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43"/>
      <c r="G21" s="284">
        <f>D173</f>
        <v>229194</v>
      </c>
      <c r="H21" s="545">
        <v>45867</v>
      </c>
      <c r="I21" s="757">
        <f>SUM(G21:G28)</f>
        <v>229194</v>
      </c>
      <c r="J21" s="757">
        <f>F173</f>
        <v>254660</v>
      </c>
      <c r="K21" s="285"/>
      <c r="L21" s="281">
        <v>3</v>
      </c>
      <c r="M21" s="428" t="s">
        <v>264</v>
      </c>
      <c r="N21" s="327" t="s">
        <v>265</v>
      </c>
      <c r="O21" s="555"/>
      <c r="P21" s="443"/>
      <c r="Q21" s="284">
        <v>74458.2</v>
      </c>
      <c r="R21" s="601" t="s">
        <v>266</v>
      </c>
      <c r="S21" s="638" t="s">
        <v>267</v>
      </c>
      <c r="T21" s="663">
        <v>45838</v>
      </c>
      <c r="U21" s="671">
        <v>166046.5979998949</v>
      </c>
      <c r="V21" s="769">
        <f>J21-SUM(U21:U28)</f>
        <v>2.0001051016151905E-3</v>
      </c>
      <c r="W21" s="545">
        <v>45867</v>
      </c>
      <c r="X21" s="782">
        <f>SUM(Q21:Q28)</f>
        <v>147784.22</v>
      </c>
      <c r="Y21" s="613" t="s">
        <v>268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58"/>
      <c r="J22" s="758"/>
      <c r="K22" s="288"/>
      <c r="L22" s="311">
        <v>3</v>
      </c>
      <c r="M22" s="429" t="s">
        <v>264</v>
      </c>
      <c r="N22" s="328"/>
      <c r="O22" s="556"/>
      <c r="P22" s="465"/>
      <c r="Q22" s="315">
        <v>7278.8</v>
      </c>
      <c r="R22" s="594"/>
      <c r="S22" s="631" t="s">
        <v>269</v>
      </c>
      <c r="T22" s="651">
        <v>45900</v>
      </c>
      <c r="U22" s="665">
        <v>88613.4</v>
      </c>
      <c r="V22" s="770"/>
      <c r="W22" s="655">
        <v>45930</v>
      </c>
      <c r="X22" s="783"/>
      <c r="Y22" s="613" t="s">
        <v>192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58"/>
      <c r="J23" s="758"/>
      <c r="K23" s="288"/>
      <c r="L23" s="311">
        <v>3</v>
      </c>
      <c r="M23" s="429" t="s">
        <v>264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70"/>
      <c r="W23" s="578"/>
      <c r="X23" s="783"/>
      <c r="Y23" s="613" t="s">
        <v>270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58"/>
      <c r="J24" s="758"/>
      <c r="K24" s="288"/>
      <c r="L24" s="311">
        <v>3</v>
      </c>
      <c r="M24" s="429" t="s">
        <v>264</v>
      </c>
      <c r="N24" s="328" t="s">
        <v>271</v>
      </c>
      <c r="O24" s="557"/>
      <c r="P24" s="450"/>
      <c r="Q24" s="392">
        <v>-40497.599999999999</v>
      </c>
      <c r="R24" s="595"/>
      <c r="S24" s="632" t="s">
        <v>272</v>
      </c>
      <c r="T24" s="650">
        <v>45961</v>
      </c>
      <c r="U24" s="657">
        <v>0</v>
      </c>
      <c r="V24" s="770"/>
      <c r="W24" s="542">
        <v>45961</v>
      </c>
      <c r="X24" s="783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58"/>
      <c r="J25" s="758"/>
      <c r="K25" s="288"/>
      <c r="L25" s="311">
        <v>3</v>
      </c>
      <c r="M25" s="429" t="s">
        <v>264</v>
      </c>
      <c r="N25" s="391" t="s">
        <v>271</v>
      </c>
      <c r="O25" s="557"/>
      <c r="P25" s="450"/>
      <c r="Q25" s="392">
        <v>616.91999999999996</v>
      </c>
      <c r="R25" s="595"/>
      <c r="S25" s="632" t="s">
        <v>273</v>
      </c>
      <c r="T25" s="650">
        <v>45991</v>
      </c>
      <c r="U25" s="657">
        <v>0</v>
      </c>
      <c r="V25" s="770"/>
      <c r="W25" s="542">
        <v>46022</v>
      </c>
      <c r="X25" s="783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58"/>
      <c r="J26" s="758"/>
      <c r="K26" s="288"/>
      <c r="L26" s="311">
        <v>3</v>
      </c>
      <c r="M26" s="429" t="s">
        <v>264</v>
      </c>
      <c r="N26" s="391" t="s">
        <v>274</v>
      </c>
      <c r="O26" s="557"/>
      <c r="P26" s="450"/>
      <c r="Q26" s="392">
        <v>83015.5</v>
      </c>
      <c r="R26" s="595" t="s">
        <v>275</v>
      </c>
      <c r="S26" s="632" t="s">
        <v>276</v>
      </c>
      <c r="T26" s="650">
        <v>45961</v>
      </c>
      <c r="U26" s="657">
        <v>0</v>
      </c>
      <c r="V26" s="770"/>
      <c r="W26" s="542">
        <v>45989</v>
      </c>
      <c r="X26" s="783"/>
      <c r="Y26" s="618" t="s">
        <v>277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58"/>
      <c r="J27" s="758"/>
      <c r="K27" s="288"/>
      <c r="L27" s="311">
        <v>3</v>
      </c>
      <c r="M27" s="429" t="s">
        <v>264</v>
      </c>
      <c r="N27" s="391"/>
      <c r="O27" s="557"/>
      <c r="P27" s="450"/>
      <c r="Q27" s="392">
        <v>22912.400000000001</v>
      </c>
      <c r="R27" s="595"/>
      <c r="S27" s="632" t="s">
        <v>278</v>
      </c>
      <c r="T27" s="650">
        <v>45961</v>
      </c>
      <c r="U27" s="657">
        <v>0</v>
      </c>
      <c r="V27" s="770"/>
      <c r="W27" s="542">
        <v>45989</v>
      </c>
      <c r="X27" s="783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59"/>
      <c r="J28" s="759"/>
      <c r="K28" s="289"/>
      <c r="L28" s="316">
        <v>3</v>
      </c>
      <c r="M28" s="430" t="s">
        <v>264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71"/>
      <c r="W28" s="580"/>
      <c r="X28" s="784"/>
      <c r="Y28" s="619" t="s">
        <v>279</v>
      </c>
      <c r="Z28" s="620" t="s">
        <v>280</v>
      </c>
    </row>
    <row r="29" spans="1:26" ht="14.2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255</v>
      </c>
      <c r="D30" s="294" t="s">
        <v>281</v>
      </c>
      <c r="E30" s="365">
        <f>G30/14*1.15</f>
        <v>13661.999999999998</v>
      </c>
      <c r="F30" s="463"/>
      <c r="G30" s="296">
        <v>166320</v>
      </c>
      <c r="H30" s="543">
        <v>45867</v>
      </c>
      <c r="I30" s="742">
        <f>SUM(G30:G45)</f>
        <v>407489.6</v>
      </c>
      <c r="J30" s="742">
        <f>F174</f>
        <v>452766.22222222219</v>
      </c>
      <c r="K30" s="297"/>
      <c r="L30" s="293">
        <v>4</v>
      </c>
      <c r="M30" s="431" t="s">
        <v>282</v>
      </c>
      <c r="N30" s="294" t="s">
        <v>283</v>
      </c>
      <c r="O30" s="552">
        <v>10000</v>
      </c>
      <c r="P30" s="463">
        <v>13.89</v>
      </c>
      <c r="Q30" s="296">
        <f>O30*P30</f>
        <v>138900</v>
      </c>
      <c r="R30" s="791" t="s">
        <v>284</v>
      </c>
      <c r="S30" s="635" t="s">
        <v>285</v>
      </c>
      <c r="T30" s="662">
        <v>45838</v>
      </c>
      <c r="U30" s="668">
        <v>182172.37433613854</v>
      </c>
      <c r="V30" s="795">
        <f>J30-SUM(U30:U45)</f>
        <v>0</v>
      </c>
      <c r="W30" s="543">
        <v>45867</v>
      </c>
      <c r="X30" s="745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286</v>
      </c>
      <c r="E31" s="400"/>
      <c r="F31" s="459"/>
      <c r="G31" s="647">
        <f>D174-G30</f>
        <v>241169.59999999998</v>
      </c>
      <c r="H31" s="544">
        <f>H30</f>
        <v>45867</v>
      </c>
      <c r="I31" s="743"/>
      <c r="J31" s="743"/>
      <c r="K31" s="301"/>
      <c r="L31" s="298">
        <v>4</v>
      </c>
      <c r="M31" s="432" t="s">
        <v>282</v>
      </c>
      <c r="N31" s="414" t="s">
        <v>287</v>
      </c>
      <c r="O31" s="553"/>
      <c r="P31" s="459"/>
      <c r="Q31" s="300">
        <v>10400</v>
      </c>
      <c r="R31" s="787"/>
      <c r="S31" s="636" t="s">
        <v>285</v>
      </c>
      <c r="T31" s="662">
        <v>45838</v>
      </c>
      <c r="U31" s="669">
        <v>13639.976192194679</v>
      </c>
      <c r="V31" s="796"/>
      <c r="W31" s="544">
        <f>W30</f>
        <v>45867</v>
      </c>
      <c r="X31" s="746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43"/>
      <c r="J32" s="743"/>
      <c r="K32" s="301"/>
      <c r="L32" s="298">
        <v>4</v>
      </c>
      <c r="M32" s="432" t="s">
        <v>282</v>
      </c>
      <c r="N32" s="414" t="s">
        <v>288</v>
      </c>
      <c r="O32" s="553"/>
      <c r="P32" s="459"/>
      <c r="Q32" s="300">
        <v>29500</v>
      </c>
      <c r="R32" s="599" t="s">
        <v>289</v>
      </c>
      <c r="S32" s="636" t="s">
        <v>290</v>
      </c>
      <c r="T32" s="659">
        <v>46022</v>
      </c>
      <c r="U32" s="707">
        <v>0</v>
      </c>
      <c r="V32" s="796"/>
      <c r="W32" s="544">
        <f>T32+30</f>
        <v>46052</v>
      </c>
      <c r="X32" s="746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43"/>
      <c r="J33" s="743"/>
      <c r="K33" s="301"/>
      <c r="L33" s="298">
        <v>4</v>
      </c>
      <c r="M33" s="432" t="s">
        <v>282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96"/>
      <c r="W33" s="583"/>
      <c r="X33" s="746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43"/>
      <c r="J34" s="743"/>
      <c r="K34" s="301"/>
      <c r="L34" s="298">
        <v>4</v>
      </c>
      <c r="M34" s="432" t="s">
        <v>282</v>
      </c>
      <c r="N34" s="414" t="s">
        <v>291</v>
      </c>
      <c r="O34" s="572">
        <v>195918.25</v>
      </c>
      <c r="P34" s="573">
        <v>0.1</v>
      </c>
      <c r="Q34" s="300">
        <f>$O$34*P34</f>
        <v>19591.825000000001</v>
      </c>
      <c r="R34" s="785" t="s">
        <v>292</v>
      </c>
      <c r="S34" s="636" t="s">
        <v>293</v>
      </c>
      <c r="T34" s="659">
        <f t="shared" si="0"/>
        <v>45808</v>
      </c>
      <c r="U34" s="669">
        <v>25695.387169388898</v>
      </c>
      <c r="V34" s="796"/>
      <c r="W34" s="544">
        <f>W94</f>
        <v>45792</v>
      </c>
      <c r="X34" s="746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43"/>
      <c r="J35" s="743"/>
      <c r="K35" s="301"/>
      <c r="L35" s="298">
        <v>4</v>
      </c>
      <c r="M35" s="432" t="s">
        <v>282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86"/>
      <c r="S35" s="636" t="s">
        <v>294</v>
      </c>
      <c r="T35" s="659">
        <v>45838</v>
      </c>
      <c r="U35" s="669">
        <v>38543.080754083348</v>
      </c>
      <c r="V35" s="796"/>
      <c r="W35" s="544">
        <f>W95</f>
        <v>45834</v>
      </c>
      <c r="X35" s="746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43"/>
      <c r="J36" s="743"/>
      <c r="K36" s="301"/>
      <c r="L36" s="298">
        <v>4</v>
      </c>
      <c r="M36" s="432" t="s">
        <v>282</v>
      </c>
      <c r="N36" s="414" t="s">
        <v>295</v>
      </c>
      <c r="O36" s="561"/>
      <c r="P36" s="573">
        <v>0.2</v>
      </c>
      <c r="Q36" s="300">
        <f t="shared" si="2"/>
        <v>39183.65</v>
      </c>
      <c r="R36" s="786"/>
      <c r="S36" s="636" t="s">
        <v>296</v>
      </c>
      <c r="T36" s="659">
        <v>45900</v>
      </c>
      <c r="U36" s="669">
        <v>51390.774338777795</v>
      </c>
      <c r="V36" s="796"/>
      <c r="W36" s="544">
        <f>W96</f>
        <v>45974</v>
      </c>
      <c r="X36" s="746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43"/>
      <c r="J37" s="743"/>
      <c r="K37" s="301"/>
      <c r="L37" s="298">
        <v>4</v>
      </c>
      <c r="M37" s="432" t="s">
        <v>282</v>
      </c>
      <c r="N37" s="414" t="s">
        <v>297</v>
      </c>
      <c r="O37" s="561"/>
      <c r="P37" s="573">
        <v>0.25</v>
      </c>
      <c r="Q37" s="300">
        <v>30766.06</v>
      </c>
      <c r="R37" s="786"/>
      <c r="S37" s="636" t="s">
        <v>298</v>
      </c>
      <c r="T37" s="659">
        <v>45900</v>
      </c>
      <c r="U37" s="669">
        <v>64238.467923472243</v>
      </c>
      <c r="V37" s="796"/>
      <c r="W37" s="698">
        <v>45991</v>
      </c>
      <c r="X37" s="746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43"/>
      <c r="J38" s="743"/>
      <c r="K38" s="301"/>
      <c r="L38" s="298">
        <v>4</v>
      </c>
      <c r="M38" s="432" t="s">
        <v>282</v>
      </c>
      <c r="N38" s="414" t="s">
        <v>297</v>
      </c>
      <c r="O38" s="561"/>
      <c r="P38" s="573"/>
      <c r="Q38" s="300">
        <f>48979.5625-Q37</f>
        <v>18213.502499999999</v>
      </c>
      <c r="R38" s="786"/>
      <c r="S38" s="636" t="s">
        <v>298</v>
      </c>
      <c r="T38" s="659">
        <v>45900</v>
      </c>
      <c r="U38" s="669">
        <v>0</v>
      </c>
      <c r="V38" s="796"/>
      <c r="W38" s="698">
        <v>46003</v>
      </c>
      <c r="X38" s="746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43"/>
      <c r="J39" s="743"/>
      <c r="K39" s="301"/>
      <c r="L39" s="298">
        <v>4</v>
      </c>
      <c r="M39" s="432" t="s">
        <v>282</v>
      </c>
      <c r="N39" s="414" t="s">
        <v>178</v>
      </c>
      <c r="O39" s="561"/>
      <c r="P39" s="573">
        <v>0.1</v>
      </c>
      <c r="Q39" s="300">
        <f t="shared" si="2"/>
        <v>19591.825000000001</v>
      </c>
      <c r="R39" s="786"/>
      <c r="S39" s="636" t="s">
        <v>299</v>
      </c>
      <c r="T39" s="659">
        <v>45900</v>
      </c>
      <c r="U39" s="669">
        <v>25695.387169388898</v>
      </c>
      <c r="V39" s="796"/>
      <c r="W39" s="698">
        <v>46009</v>
      </c>
      <c r="X39" s="746"/>
      <c r="Y39" s="621" t="s">
        <v>268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43"/>
      <c r="J40" s="743"/>
      <c r="K40" s="301"/>
      <c r="L40" s="298">
        <v>4</v>
      </c>
      <c r="M40" s="432" t="s">
        <v>282</v>
      </c>
      <c r="N40" s="414" t="s">
        <v>300</v>
      </c>
      <c r="O40" s="561"/>
      <c r="P40" s="573">
        <v>0.1</v>
      </c>
      <c r="Q40" s="300">
        <f t="shared" si="2"/>
        <v>19591.825000000001</v>
      </c>
      <c r="R40" s="786"/>
      <c r="S40" s="636" t="s">
        <v>301</v>
      </c>
      <c r="T40" s="659">
        <v>45900</v>
      </c>
      <c r="U40" s="669">
        <v>25695.387169388898</v>
      </c>
      <c r="V40" s="796"/>
      <c r="W40" s="544">
        <v>46015</v>
      </c>
      <c r="X40" s="746"/>
      <c r="Y40" s="621" t="s">
        <v>268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43"/>
      <c r="J41" s="743"/>
      <c r="K41" s="301"/>
      <c r="L41" s="298">
        <v>4</v>
      </c>
      <c r="M41" s="432" t="s">
        <v>282</v>
      </c>
      <c r="N41" s="414" t="s">
        <v>302</v>
      </c>
      <c r="O41" s="700"/>
      <c r="P41" s="573">
        <v>0.05</v>
      </c>
      <c r="Q41" s="300">
        <f t="shared" si="2"/>
        <v>9795.9125000000004</v>
      </c>
      <c r="R41" s="786"/>
      <c r="S41" s="636" t="s">
        <v>303</v>
      </c>
      <c r="T41" s="659">
        <v>45900</v>
      </c>
      <c r="U41" s="669">
        <v>12847.693584694449</v>
      </c>
      <c r="V41" s="796"/>
      <c r="W41" s="544">
        <v>46386</v>
      </c>
      <c r="X41" s="746"/>
      <c r="Y41" s="621" t="s">
        <v>192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43"/>
      <c r="J42" s="743"/>
      <c r="K42" s="301"/>
      <c r="L42" s="298">
        <v>4</v>
      </c>
      <c r="M42" s="432" t="s">
        <v>282</v>
      </c>
      <c r="N42" s="414" t="s">
        <v>304</v>
      </c>
      <c r="O42" s="700"/>
      <c r="P42" s="573">
        <v>0.05</v>
      </c>
      <c r="Q42" s="300">
        <f t="shared" si="2"/>
        <v>9795.9125000000004</v>
      </c>
      <c r="R42" s="787"/>
      <c r="S42" s="636" t="s">
        <v>305</v>
      </c>
      <c r="T42" s="659">
        <v>45900</v>
      </c>
      <c r="U42" s="669">
        <v>12847.693584694449</v>
      </c>
      <c r="V42" s="796"/>
      <c r="W42" s="544">
        <v>46078</v>
      </c>
      <c r="X42" s="746"/>
      <c r="Y42" s="624" t="s">
        <v>277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43"/>
      <c r="J43" s="743"/>
      <c r="K43" s="301"/>
      <c r="L43" s="298">
        <v>4</v>
      </c>
      <c r="M43" s="432" t="s">
        <v>282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96"/>
      <c r="W43" s="583"/>
      <c r="X43" s="746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43"/>
      <c r="J44" s="743"/>
      <c r="K44" s="301"/>
      <c r="L44" s="298">
        <v>4</v>
      </c>
      <c r="M44" s="432" t="s">
        <v>282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96"/>
      <c r="W44" s="583"/>
      <c r="X44" s="746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44"/>
      <c r="J45" s="744"/>
      <c r="K45" s="306"/>
      <c r="L45" s="302">
        <v>4</v>
      </c>
      <c r="M45" s="433" t="s">
        <v>282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97"/>
      <c r="W45" s="584"/>
      <c r="X45" s="747"/>
      <c r="Y45" s="488"/>
    </row>
    <row r="46" spans="1:26" ht="13.9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306</v>
      </c>
      <c r="D47" s="327" t="s">
        <v>307</v>
      </c>
      <c r="E47" s="283"/>
      <c r="F47" s="443"/>
      <c r="G47" s="284">
        <f>D176-G48</f>
        <v>34000</v>
      </c>
      <c r="H47" s="545">
        <v>45855</v>
      </c>
      <c r="I47" s="757">
        <f>SUM(G47:G54)</f>
        <v>49000</v>
      </c>
      <c r="J47" s="757">
        <f>F176</f>
        <v>54444.444444444445</v>
      </c>
      <c r="K47" s="285"/>
      <c r="L47" s="281">
        <v>5</v>
      </c>
      <c r="M47" s="428" t="s">
        <v>308</v>
      </c>
      <c r="N47" s="327" t="s">
        <v>309</v>
      </c>
      <c r="O47" s="555"/>
      <c r="P47" s="443"/>
      <c r="Q47" s="284">
        <v>8598.35</v>
      </c>
      <c r="R47" s="601" t="s">
        <v>242</v>
      </c>
      <c r="S47" s="638" t="s">
        <v>310</v>
      </c>
      <c r="T47" s="663">
        <f>T13</f>
        <v>45808</v>
      </c>
      <c r="U47" s="671">
        <v>9210.3317275571917</v>
      </c>
      <c r="V47" s="769">
        <f>J47-SUM(U47:U54)</f>
        <v>-1.4822027660557069E-3</v>
      </c>
      <c r="W47" s="545">
        <v>45855</v>
      </c>
      <c r="X47" s="782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311</v>
      </c>
      <c r="E48" s="457"/>
      <c r="F48" s="458"/>
      <c r="G48" s="315">
        <v>15000</v>
      </c>
      <c r="H48" s="541">
        <v>45804</v>
      </c>
      <c r="I48" s="758"/>
      <c r="J48" s="758"/>
      <c r="K48" s="288"/>
      <c r="L48" s="286">
        <v>5</v>
      </c>
      <c r="M48" s="434" t="s">
        <v>308</v>
      </c>
      <c r="N48" s="287" t="s">
        <v>312</v>
      </c>
      <c r="O48" s="563"/>
      <c r="P48" s="458"/>
      <c r="Q48" s="315">
        <v>13695</v>
      </c>
      <c r="R48" s="649" t="s">
        <v>313</v>
      </c>
      <c r="S48" s="631" t="s">
        <v>314</v>
      </c>
      <c r="T48" s="651">
        <v>45777</v>
      </c>
      <c r="U48" s="656">
        <v>18689.476542590968</v>
      </c>
      <c r="V48" s="770"/>
      <c r="W48" s="541">
        <v>45804</v>
      </c>
      <c r="X48" s="783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58"/>
      <c r="J49" s="758"/>
      <c r="K49" s="288"/>
      <c r="L49" s="286">
        <v>5</v>
      </c>
      <c r="M49" s="434" t="s">
        <v>308</v>
      </c>
      <c r="N49" s="287"/>
      <c r="O49" s="563"/>
      <c r="P49" s="458"/>
      <c r="Q49" s="315">
        <v>214.28</v>
      </c>
      <c r="R49" s="649"/>
      <c r="S49" s="631" t="s">
        <v>315</v>
      </c>
      <c r="T49" s="651">
        <v>45838</v>
      </c>
      <c r="U49" s="665">
        <v>3769.3927250146494</v>
      </c>
      <c r="V49" s="770"/>
      <c r="W49" s="678">
        <v>45867</v>
      </c>
      <c r="X49" s="783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58"/>
      <c r="J50" s="758"/>
      <c r="K50" s="288"/>
      <c r="L50" s="286">
        <v>5</v>
      </c>
      <c r="M50" s="434" t="s">
        <v>308</v>
      </c>
      <c r="N50" s="313" t="s">
        <v>316</v>
      </c>
      <c r="O50" s="556"/>
      <c r="P50" s="465"/>
      <c r="Q50" s="315">
        <v>11169</v>
      </c>
      <c r="R50" s="594"/>
      <c r="S50" s="631" t="s">
        <v>317</v>
      </c>
      <c r="T50" s="651">
        <v>45838</v>
      </c>
      <c r="U50" s="665">
        <v>21003.929223859523</v>
      </c>
      <c r="V50" s="770"/>
      <c r="W50" s="541">
        <v>45838</v>
      </c>
      <c r="X50" s="783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58"/>
      <c r="J51" s="758"/>
      <c r="K51" s="288"/>
      <c r="L51" s="311">
        <v>5</v>
      </c>
      <c r="M51" s="434" t="s">
        <v>308</v>
      </c>
      <c r="N51" s="313" t="s">
        <v>318</v>
      </c>
      <c r="O51" s="556"/>
      <c r="P51" s="465"/>
      <c r="Q51" s="315">
        <v>2250.5</v>
      </c>
      <c r="R51" s="594" t="s">
        <v>319</v>
      </c>
      <c r="S51" s="631" t="s">
        <v>320</v>
      </c>
      <c r="T51" s="651">
        <f t="shared" si="0"/>
        <v>45808</v>
      </c>
      <c r="U51" s="665">
        <v>2816.4684785880381</v>
      </c>
      <c r="V51" s="770"/>
      <c r="W51" s="541">
        <v>45799</v>
      </c>
      <c r="X51" s="783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58"/>
      <c r="J52" s="758"/>
      <c r="K52" s="288"/>
      <c r="L52" s="311">
        <v>5</v>
      </c>
      <c r="M52" s="434" t="s">
        <v>308</v>
      </c>
      <c r="N52" s="393" t="s">
        <v>321</v>
      </c>
      <c r="O52" s="557"/>
      <c r="P52" s="450"/>
      <c r="Q52" s="392">
        <v>3960</v>
      </c>
      <c r="R52" s="595" t="s">
        <v>322</v>
      </c>
      <c r="S52" s="632" t="s">
        <v>323</v>
      </c>
      <c r="T52" s="650">
        <v>45808</v>
      </c>
      <c r="U52" s="666">
        <v>4955.8832149338514</v>
      </c>
      <c r="V52" s="770"/>
      <c r="W52" s="542">
        <v>45835</v>
      </c>
      <c r="X52" s="783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58"/>
      <c r="J53" s="758"/>
      <c r="K53" s="288"/>
      <c r="L53" s="311">
        <v>5</v>
      </c>
      <c r="M53" s="434" t="s">
        <v>308</v>
      </c>
      <c r="N53" s="393"/>
      <c r="O53" s="557"/>
      <c r="P53" s="450"/>
      <c r="Q53" s="392">
        <v>-3960</v>
      </c>
      <c r="R53" s="595"/>
      <c r="S53" s="632" t="s">
        <v>324</v>
      </c>
      <c r="T53" s="650">
        <v>45838</v>
      </c>
      <c r="U53" s="674">
        <v>-6001.0359858970096</v>
      </c>
      <c r="V53" s="770"/>
      <c r="W53" s="542">
        <v>45838</v>
      </c>
      <c r="X53" s="783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59"/>
      <c r="J54" s="759"/>
      <c r="K54" s="289"/>
      <c r="L54" s="316">
        <v>5</v>
      </c>
      <c r="M54" s="430" t="s">
        <v>308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71"/>
      <c r="W54" s="580"/>
      <c r="X54" s="784"/>
      <c r="Y54" s="488"/>
    </row>
    <row r="55" spans="1:25" ht="14.2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250</v>
      </c>
      <c r="D56" s="295" t="s">
        <v>325</v>
      </c>
      <c r="E56" s="481"/>
      <c r="F56" s="463"/>
      <c r="G56" s="296">
        <f>D175</f>
        <v>673981.46086956526</v>
      </c>
      <c r="H56" s="544">
        <v>45866</v>
      </c>
      <c r="I56" s="742">
        <f>SUM(G56:G72)</f>
        <v>673981.46086956526</v>
      </c>
      <c r="J56" s="742">
        <f>F175</f>
        <v>748868.28985507251</v>
      </c>
      <c r="K56" s="297"/>
      <c r="L56" s="293">
        <v>6</v>
      </c>
      <c r="M56" s="437" t="s">
        <v>326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95">
        <f>J56-SUM(U56:U72)</f>
        <v>2.8626930434256792E-3</v>
      </c>
      <c r="W56" s="582"/>
      <c r="X56" s="745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43"/>
      <c r="J57" s="743"/>
      <c r="K57" s="301"/>
      <c r="L57" s="298">
        <v>6</v>
      </c>
      <c r="M57" s="435" t="s">
        <v>326</v>
      </c>
      <c r="N57" s="449" t="s">
        <v>327</v>
      </c>
      <c r="O57" s="561"/>
      <c r="P57" s="459"/>
      <c r="Q57" s="321">
        <v>170430.32</v>
      </c>
      <c r="R57" s="599" t="s">
        <v>328</v>
      </c>
      <c r="S57" s="636" t="s">
        <v>329</v>
      </c>
      <c r="T57" s="659">
        <v>45838</v>
      </c>
      <c r="U57" s="675">
        <v>436685.80156772095</v>
      </c>
      <c r="V57" s="796"/>
      <c r="W57" s="544">
        <v>45867</v>
      </c>
      <c r="X57" s="746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43"/>
      <c r="J58" s="743"/>
      <c r="K58" s="301"/>
      <c r="L58" s="298">
        <v>6</v>
      </c>
      <c r="M58" s="435" t="s">
        <v>326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96"/>
      <c r="W58" s="583"/>
      <c r="X58" s="746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43"/>
      <c r="J59" s="743"/>
      <c r="K59" s="301"/>
      <c r="L59" s="298">
        <v>6</v>
      </c>
      <c r="M59" s="435" t="s">
        <v>326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96"/>
      <c r="W59" s="583"/>
      <c r="X59" s="746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43"/>
      <c r="J60" s="743"/>
      <c r="K60" s="301"/>
      <c r="L60" s="298">
        <v>6</v>
      </c>
      <c r="M60" s="435" t="s">
        <v>326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96"/>
      <c r="W60" s="583"/>
      <c r="X60" s="746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43"/>
      <c r="J61" s="743"/>
      <c r="K61" s="301"/>
      <c r="L61" s="298">
        <v>6</v>
      </c>
      <c r="M61" s="435" t="s">
        <v>326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96"/>
      <c r="W61" s="583"/>
      <c r="X61" s="746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43"/>
      <c r="J62" s="743"/>
      <c r="K62" s="301"/>
      <c r="L62" s="298">
        <v>6</v>
      </c>
      <c r="M62" s="435" t="s">
        <v>326</v>
      </c>
      <c r="N62" s="414" t="s">
        <v>291</v>
      </c>
      <c r="O62" s="572">
        <v>121839</v>
      </c>
      <c r="P62" s="573">
        <v>0.1</v>
      </c>
      <c r="Q62" s="300">
        <f>$O$62*P62</f>
        <v>12183.900000000001</v>
      </c>
      <c r="R62" s="785" t="s">
        <v>292</v>
      </c>
      <c r="S62" s="636" t="s">
        <v>293</v>
      </c>
      <c r="T62" s="659">
        <f t="shared" si="0"/>
        <v>45808</v>
      </c>
      <c r="U62" s="669">
        <v>31674.725966042024</v>
      </c>
      <c r="V62" s="796"/>
      <c r="W62" s="544">
        <f>W94</f>
        <v>45792</v>
      </c>
      <c r="X62" s="746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43"/>
      <c r="J63" s="743"/>
      <c r="K63" s="301"/>
      <c r="L63" s="298">
        <v>6</v>
      </c>
      <c r="M63" s="436" t="s">
        <v>326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86"/>
      <c r="S63" s="636" t="s">
        <v>294</v>
      </c>
      <c r="T63" s="659">
        <v>45838</v>
      </c>
      <c r="U63" s="675">
        <v>46370.893243102699</v>
      </c>
      <c r="V63" s="796"/>
      <c r="W63" s="544">
        <f t="shared" ref="W63" si="7">W95</f>
        <v>45834</v>
      </c>
      <c r="X63" s="746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43"/>
      <c r="J64" s="743"/>
      <c r="K64" s="301"/>
      <c r="L64" s="298">
        <v>6</v>
      </c>
      <c r="M64" s="436" t="s">
        <v>326</v>
      </c>
      <c r="N64" s="414" t="s">
        <v>295</v>
      </c>
      <c r="O64" s="561"/>
      <c r="P64" s="573">
        <v>0.2</v>
      </c>
      <c r="Q64" s="300">
        <f t="shared" si="6"/>
        <v>24367.800000000003</v>
      </c>
      <c r="R64" s="786"/>
      <c r="S64" s="636" t="s">
        <v>296</v>
      </c>
      <c r="T64" s="659">
        <v>45900</v>
      </c>
      <c r="U64" s="669">
        <v>62436.497657470296</v>
      </c>
      <c r="V64" s="796"/>
      <c r="W64" s="698">
        <v>45960</v>
      </c>
      <c r="X64" s="746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43"/>
      <c r="J65" s="743"/>
      <c r="K65" s="301"/>
      <c r="L65" s="298">
        <v>6</v>
      </c>
      <c r="M65" s="436" t="s">
        <v>326</v>
      </c>
      <c r="N65" s="414" t="s">
        <v>297</v>
      </c>
      <c r="O65" s="561"/>
      <c r="P65" s="573">
        <v>0.25</v>
      </c>
      <c r="Q65" s="300">
        <f t="shared" si="6"/>
        <v>30459.75</v>
      </c>
      <c r="R65" s="786"/>
      <c r="S65" s="636" t="s">
        <v>298</v>
      </c>
      <c r="T65" s="659">
        <v>45900</v>
      </c>
      <c r="U65" s="669">
        <v>78045.622071837846</v>
      </c>
      <c r="V65" s="796"/>
      <c r="W65" s="544">
        <v>46006</v>
      </c>
      <c r="X65" s="746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43"/>
      <c r="J66" s="743"/>
      <c r="K66" s="301"/>
      <c r="L66" s="298">
        <v>6</v>
      </c>
      <c r="M66" s="436" t="s">
        <v>326</v>
      </c>
      <c r="N66" s="414" t="s">
        <v>178</v>
      </c>
      <c r="O66" s="561"/>
      <c r="P66" s="573">
        <v>0.1</v>
      </c>
      <c r="Q66" s="300">
        <f t="shared" si="6"/>
        <v>12183.900000000001</v>
      </c>
      <c r="R66" s="786"/>
      <c r="S66" s="636" t="s">
        <v>299</v>
      </c>
      <c r="T66" s="659">
        <v>45900</v>
      </c>
      <c r="U66" s="669">
        <v>31218.248828735148</v>
      </c>
      <c r="V66" s="796"/>
      <c r="W66" s="544">
        <v>46009</v>
      </c>
      <c r="X66" s="746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43"/>
      <c r="J67" s="743"/>
      <c r="K67" s="301"/>
      <c r="L67" s="298">
        <v>6</v>
      </c>
      <c r="M67" s="436" t="s">
        <v>326</v>
      </c>
      <c r="N67" s="414" t="s">
        <v>300</v>
      </c>
      <c r="O67" s="561"/>
      <c r="P67" s="573">
        <v>0.1</v>
      </c>
      <c r="Q67" s="300">
        <f t="shared" si="6"/>
        <v>12183.900000000001</v>
      </c>
      <c r="R67" s="786"/>
      <c r="S67" s="640" t="s">
        <v>301</v>
      </c>
      <c r="T67" s="659">
        <v>45900</v>
      </c>
      <c r="U67" s="680">
        <v>31218.248828735148</v>
      </c>
      <c r="V67" s="796"/>
      <c r="W67" s="544">
        <v>46015</v>
      </c>
      <c r="X67" s="746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43"/>
      <c r="J68" s="743"/>
      <c r="K68" s="301"/>
      <c r="L68" s="298">
        <v>6</v>
      </c>
      <c r="M68" s="436" t="s">
        <v>326</v>
      </c>
      <c r="N68" s="414" t="s">
        <v>302</v>
      </c>
      <c r="O68" s="561"/>
      <c r="P68" s="573">
        <v>0.05</v>
      </c>
      <c r="Q68" s="300">
        <f t="shared" si="6"/>
        <v>6091.9500000000007</v>
      </c>
      <c r="R68" s="786"/>
      <c r="S68" s="640" t="s">
        <v>303</v>
      </c>
      <c r="T68" s="659">
        <v>45900</v>
      </c>
      <c r="U68" s="680">
        <v>15609.124414367574</v>
      </c>
      <c r="V68" s="796"/>
      <c r="W68" s="544">
        <v>46386</v>
      </c>
      <c r="X68" s="746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43"/>
      <c r="J69" s="743"/>
      <c r="K69" s="301"/>
      <c r="L69" s="298">
        <v>6</v>
      </c>
      <c r="M69" s="436" t="s">
        <v>326</v>
      </c>
      <c r="N69" s="414" t="s">
        <v>304</v>
      </c>
      <c r="O69" s="561"/>
      <c r="P69" s="573">
        <v>0.05</v>
      </c>
      <c r="Q69" s="300">
        <f t="shared" si="6"/>
        <v>6091.9500000000007</v>
      </c>
      <c r="R69" s="787"/>
      <c r="S69" s="640" t="s">
        <v>305</v>
      </c>
      <c r="T69" s="659">
        <v>45900</v>
      </c>
      <c r="U69" s="680">
        <v>15609.124414367574</v>
      </c>
      <c r="V69" s="796"/>
      <c r="W69" s="544">
        <v>46058</v>
      </c>
      <c r="X69" s="746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43"/>
      <c r="J70" s="743"/>
      <c r="K70" s="301"/>
      <c r="L70" s="298">
        <v>6</v>
      </c>
      <c r="M70" s="436" t="s">
        <v>326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96"/>
      <c r="W70" s="586"/>
      <c r="X70" s="746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43"/>
      <c r="J71" s="743"/>
      <c r="K71" s="301"/>
      <c r="L71" s="298">
        <v>6</v>
      </c>
      <c r="M71" s="436" t="s">
        <v>326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96"/>
      <c r="W71" s="586"/>
      <c r="X71" s="746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44"/>
      <c r="J72" s="744"/>
      <c r="K72" s="306"/>
      <c r="L72" s="302">
        <v>6</v>
      </c>
      <c r="M72" s="438" t="s">
        <v>326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97"/>
      <c r="W72" s="584"/>
      <c r="X72" s="747"/>
      <c r="Y72" s="488"/>
    </row>
    <row r="73" spans="1:25" ht="13.9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330</v>
      </c>
      <c r="D74" s="387"/>
      <c r="E74" s="468"/>
      <c r="F74" s="474"/>
      <c r="G74" s="388"/>
      <c r="H74" s="588"/>
      <c r="I74" s="757">
        <f>SUM(G74:G81)</f>
        <v>0</v>
      </c>
      <c r="J74" s="757">
        <v>0</v>
      </c>
      <c r="K74" s="285"/>
      <c r="L74" s="386">
        <v>7</v>
      </c>
      <c r="M74" s="309" t="s">
        <v>331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92">
        <f>J74-SUM(U74:U81)</f>
        <v>0</v>
      </c>
      <c r="W74" s="588"/>
      <c r="X74" s="782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58"/>
      <c r="J75" s="758"/>
      <c r="K75" s="288"/>
      <c r="L75" s="389">
        <v>7</v>
      </c>
      <c r="M75" s="390" t="s">
        <v>331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93"/>
      <c r="W75" s="579"/>
      <c r="X75" s="783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58"/>
      <c r="J76" s="758"/>
      <c r="K76" s="288"/>
      <c r="L76" s="389">
        <v>7</v>
      </c>
      <c r="M76" s="390" t="s">
        <v>331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93"/>
      <c r="W76" s="579"/>
      <c r="X76" s="783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58"/>
      <c r="J77" s="758"/>
      <c r="K77" s="288"/>
      <c r="L77" s="389">
        <v>7</v>
      </c>
      <c r="M77" s="390" t="s">
        <v>331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93"/>
      <c r="W77" s="579"/>
      <c r="X77" s="783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58"/>
      <c r="J78" s="758"/>
      <c r="K78" s="288"/>
      <c r="L78" s="389">
        <v>7</v>
      </c>
      <c r="M78" s="390" t="s">
        <v>331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93"/>
      <c r="W78" s="579"/>
      <c r="X78" s="783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58"/>
      <c r="J79" s="758"/>
      <c r="K79" s="288"/>
      <c r="L79" s="389">
        <v>7</v>
      </c>
      <c r="M79" s="390" t="s">
        <v>331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93"/>
      <c r="W79" s="579"/>
      <c r="X79" s="783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58"/>
      <c r="J80" s="758"/>
      <c r="K80" s="288"/>
      <c r="L80" s="389">
        <v>7</v>
      </c>
      <c r="M80" s="390" t="s">
        <v>331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93"/>
      <c r="W80" s="579"/>
      <c r="X80" s="783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59"/>
      <c r="J81" s="759"/>
      <c r="K81" s="289"/>
      <c r="L81" s="316">
        <v>7</v>
      </c>
      <c r="M81" s="337" t="s">
        <v>331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94"/>
      <c r="W81" s="580"/>
      <c r="X81" s="784"/>
      <c r="Y81" s="488"/>
    </row>
    <row r="82" spans="1:25" ht="13.9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332</v>
      </c>
      <c r="D83" s="333"/>
      <c r="E83" s="469"/>
      <c r="F83" s="422"/>
      <c r="G83" s="334"/>
      <c r="H83" s="582"/>
      <c r="I83" s="742">
        <f>D178</f>
        <v>0</v>
      </c>
      <c r="J83" s="742">
        <f>F178</f>
        <v>0</v>
      </c>
      <c r="K83" s="297"/>
      <c r="L83" s="332">
        <v>8</v>
      </c>
      <c r="M83" s="431" t="s">
        <v>333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66">
        <f>J83-SUM(U83:U91)</f>
        <v>0</v>
      </c>
      <c r="W83" s="582"/>
      <c r="X83" s="745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43"/>
      <c r="J84" s="743"/>
      <c r="K84" s="301"/>
      <c r="L84" s="322">
        <v>8</v>
      </c>
      <c r="M84" s="439" t="s">
        <v>333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67"/>
      <c r="W84" s="583"/>
      <c r="X84" s="746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43"/>
      <c r="J85" s="743"/>
      <c r="K85" s="301"/>
      <c r="L85" s="322">
        <v>8</v>
      </c>
      <c r="M85" s="439" t="s">
        <v>333</v>
      </c>
      <c r="N85" s="335" t="s">
        <v>334</v>
      </c>
      <c r="O85" s="421"/>
      <c r="P85" s="467"/>
      <c r="Q85" s="324">
        <v>64865</v>
      </c>
      <c r="R85" s="599" t="s">
        <v>335</v>
      </c>
      <c r="S85" s="636" t="s">
        <v>336</v>
      </c>
      <c r="T85" s="659">
        <v>45838</v>
      </c>
      <c r="U85" s="513"/>
      <c r="V85" s="767"/>
      <c r="W85" s="544">
        <v>45869</v>
      </c>
      <c r="X85" s="746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43"/>
      <c r="J86" s="743"/>
      <c r="K86" s="301"/>
      <c r="L86" s="322">
        <v>8</v>
      </c>
      <c r="M86" s="439" t="s">
        <v>333</v>
      </c>
      <c r="N86" s="335" t="s">
        <v>337</v>
      </c>
      <c r="O86" s="564"/>
      <c r="P86" s="467"/>
      <c r="Q86" s="324">
        <v>22639</v>
      </c>
      <c r="R86" s="599" t="s">
        <v>338</v>
      </c>
      <c r="S86" s="636" t="s">
        <v>339</v>
      </c>
      <c r="T86" s="659">
        <v>46022</v>
      </c>
      <c r="U86" s="513"/>
      <c r="V86" s="767"/>
      <c r="W86" s="544">
        <f>T86+30</f>
        <v>46052</v>
      </c>
      <c r="X86" s="746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43"/>
      <c r="J87" s="743"/>
      <c r="K87" s="301"/>
      <c r="L87" s="322">
        <v>8</v>
      </c>
      <c r="M87" s="439" t="s">
        <v>333</v>
      </c>
      <c r="N87" s="335" t="s">
        <v>340</v>
      </c>
      <c r="O87" s="564"/>
      <c r="P87" s="467"/>
      <c r="Q87" s="324">
        <v>14332</v>
      </c>
      <c r="R87" s="599" t="s">
        <v>341</v>
      </c>
      <c r="S87" s="636" t="s">
        <v>342</v>
      </c>
      <c r="T87" s="659">
        <v>45991</v>
      </c>
      <c r="U87" s="513"/>
      <c r="V87" s="767"/>
      <c r="W87" s="544">
        <v>46003</v>
      </c>
      <c r="X87" s="746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43"/>
      <c r="J88" s="743"/>
      <c r="K88" s="301"/>
      <c r="L88" s="322">
        <v>8</v>
      </c>
      <c r="M88" s="439" t="s">
        <v>333</v>
      </c>
      <c r="N88" s="335" t="s">
        <v>343</v>
      </c>
      <c r="O88" s="564"/>
      <c r="P88" s="467"/>
      <c r="Q88" s="324">
        <v>6000</v>
      </c>
      <c r="R88" s="599" t="s">
        <v>344</v>
      </c>
      <c r="S88" s="636" t="s">
        <v>345</v>
      </c>
      <c r="T88" s="659">
        <v>45991</v>
      </c>
      <c r="U88" s="513"/>
      <c r="V88" s="767"/>
      <c r="W88" s="698">
        <v>45995</v>
      </c>
      <c r="X88" s="746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43"/>
      <c r="J89" s="743"/>
      <c r="K89" s="301"/>
      <c r="L89" s="322">
        <v>8</v>
      </c>
      <c r="M89" s="439" t="s">
        <v>333</v>
      </c>
      <c r="N89" s="335"/>
      <c r="O89" s="564"/>
      <c r="P89" s="467"/>
      <c r="Q89" s="324"/>
      <c r="R89" s="599"/>
      <c r="S89" s="636"/>
      <c r="T89" s="529"/>
      <c r="U89" s="513"/>
      <c r="V89" s="767"/>
      <c r="W89" s="583"/>
      <c r="X89" s="746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43"/>
      <c r="J90" s="743"/>
      <c r="K90" s="301"/>
      <c r="L90" s="322">
        <v>8</v>
      </c>
      <c r="M90" s="439" t="s">
        <v>333</v>
      </c>
      <c r="N90" s="335" t="s">
        <v>346</v>
      </c>
      <c r="O90" s="564"/>
      <c r="P90" s="467"/>
      <c r="Q90" s="324">
        <v>44224</v>
      </c>
      <c r="R90" s="603" t="s">
        <v>347</v>
      </c>
      <c r="S90" s="640" t="s">
        <v>348</v>
      </c>
      <c r="T90" s="711">
        <v>46053</v>
      </c>
      <c r="U90" s="518"/>
      <c r="V90" s="767"/>
      <c r="W90" s="586">
        <v>46081</v>
      </c>
      <c r="X90" s="746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44"/>
      <c r="J91" s="744"/>
      <c r="K91" s="306"/>
      <c r="L91" s="302">
        <v>8</v>
      </c>
      <c r="M91" s="438" t="s">
        <v>333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68"/>
      <c r="W91" s="584"/>
      <c r="X91" s="747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6">
        <f>D184</f>
        <v>127330</v>
      </c>
      <c r="H93" s="541">
        <v>45791</v>
      </c>
      <c r="I93" s="754">
        <f>SUM(G93:G105)</f>
        <v>411950</v>
      </c>
      <c r="J93" s="757">
        <f>F184+F185</f>
        <v>484647.0588235294</v>
      </c>
      <c r="K93" s="288"/>
      <c r="L93" s="311">
        <v>9</v>
      </c>
      <c r="M93" s="429" t="s">
        <v>352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69">
        <f>J93-SUM(U93:U105)</f>
        <v>-1.9043107749894261E-3</v>
      </c>
      <c r="W93" s="585"/>
      <c r="X93" s="760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6">
        <f>D185</f>
        <v>284620</v>
      </c>
      <c r="H94" s="541">
        <v>45792</v>
      </c>
      <c r="I94" s="755"/>
      <c r="J94" s="758"/>
      <c r="K94" s="288"/>
      <c r="L94" s="311">
        <v>9</v>
      </c>
      <c r="M94" s="429" t="s">
        <v>352</v>
      </c>
      <c r="N94" s="328" t="s">
        <v>291</v>
      </c>
      <c r="O94" s="575">
        <v>509000</v>
      </c>
      <c r="P94" s="576">
        <v>0.1</v>
      </c>
      <c r="Q94" s="315">
        <f>$O$94*P94</f>
        <v>50900</v>
      </c>
      <c r="R94" s="772" t="s">
        <v>292</v>
      </c>
      <c r="S94" s="631" t="s">
        <v>293</v>
      </c>
      <c r="T94" s="651">
        <f t="shared" si="8"/>
        <v>45808</v>
      </c>
      <c r="U94" s="665">
        <v>48464.705882352944</v>
      </c>
      <c r="V94" s="770"/>
      <c r="W94" s="541">
        <v>45792</v>
      </c>
      <c r="X94" s="761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55"/>
      <c r="J95" s="758"/>
      <c r="K95" s="288"/>
      <c r="L95" s="389">
        <v>9</v>
      </c>
      <c r="M95" s="507" t="s">
        <v>352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73"/>
      <c r="S95" s="632" t="s">
        <v>294</v>
      </c>
      <c r="T95" s="650">
        <v>45838</v>
      </c>
      <c r="U95" s="674">
        <v>72697.058823529413</v>
      </c>
      <c r="V95" s="770"/>
      <c r="W95" s="542">
        <v>45834</v>
      </c>
      <c r="X95" s="761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55"/>
      <c r="J96" s="758"/>
      <c r="K96" s="288"/>
      <c r="L96" s="389">
        <v>9</v>
      </c>
      <c r="M96" s="507" t="s">
        <v>352</v>
      </c>
      <c r="N96" s="391" t="s">
        <v>295</v>
      </c>
      <c r="O96" s="557"/>
      <c r="P96" s="574">
        <v>0.2</v>
      </c>
      <c r="Q96" s="315">
        <f t="shared" si="9"/>
        <v>101800</v>
      </c>
      <c r="R96" s="773"/>
      <c r="S96" s="632" t="s">
        <v>296</v>
      </c>
      <c r="T96" s="650">
        <v>45900</v>
      </c>
      <c r="U96" s="666">
        <v>96929.411764705888</v>
      </c>
      <c r="V96" s="770"/>
      <c r="W96" s="542">
        <v>45974</v>
      </c>
      <c r="X96" s="761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55"/>
      <c r="J97" s="758"/>
      <c r="K97" s="288"/>
      <c r="L97" s="389">
        <v>9</v>
      </c>
      <c r="M97" s="507" t="s">
        <v>352</v>
      </c>
      <c r="N97" s="391" t="s">
        <v>297</v>
      </c>
      <c r="O97" s="557"/>
      <c r="P97" s="574">
        <v>0.25</v>
      </c>
      <c r="Q97" s="315">
        <f t="shared" si="9"/>
        <v>127250</v>
      </c>
      <c r="R97" s="773"/>
      <c r="S97" s="632" t="s">
        <v>298</v>
      </c>
      <c r="T97" s="650">
        <v>45900</v>
      </c>
      <c r="U97" s="666">
        <v>121161.76470588235</v>
      </c>
      <c r="V97" s="770"/>
      <c r="W97" s="699">
        <v>46009</v>
      </c>
      <c r="X97" s="761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55"/>
      <c r="J98" s="758"/>
      <c r="K98" s="288"/>
      <c r="L98" s="389">
        <v>9</v>
      </c>
      <c r="M98" s="507" t="s">
        <v>352</v>
      </c>
      <c r="N98" s="391" t="s">
        <v>178</v>
      </c>
      <c r="O98" s="557"/>
      <c r="P98" s="574">
        <v>0.1</v>
      </c>
      <c r="Q98" s="315">
        <f t="shared" si="9"/>
        <v>50900</v>
      </c>
      <c r="R98" s="773"/>
      <c r="S98" s="632" t="s">
        <v>299</v>
      </c>
      <c r="T98" s="650">
        <v>45900</v>
      </c>
      <c r="U98" s="666">
        <v>48464.705882352944</v>
      </c>
      <c r="V98" s="770"/>
      <c r="W98" s="542">
        <f>'Project Plan'!K39+7</f>
        <v>46006</v>
      </c>
      <c r="X98" s="761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55"/>
      <c r="J99" s="758"/>
      <c r="K99" s="288"/>
      <c r="L99" s="389">
        <v>9</v>
      </c>
      <c r="M99" s="507" t="s">
        <v>352</v>
      </c>
      <c r="N99" s="391" t="s">
        <v>300</v>
      </c>
      <c r="O99" s="557"/>
      <c r="P99" s="574">
        <v>0.1</v>
      </c>
      <c r="Q99" s="315">
        <f>24212.45/1.15</f>
        <v>21054.304347826088</v>
      </c>
      <c r="R99" s="773"/>
      <c r="S99" s="632" t="s">
        <v>354</v>
      </c>
      <c r="T99" s="650">
        <v>45961</v>
      </c>
      <c r="U99" s="657">
        <v>48464.706834508281</v>
      </c>
      <c r="V99" s="770"/>
      <c r="W99" s="542">
        <v>46015</v>
      </c>
      <c r="X99" s="761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55"/>
      <c r="J100" s="758"/>
      <c r="K100" s="288"/>
      <c r="L100" s="389">
        <v>9</v>
      </c>
      <c r="M100" s="507" t="s">
        <v>352</v>
      </c>
      <c r="N100" s="391" t="s">
        <v>300</v>
      </c>
      <c r="O100" s="557"/>
      <c r="P100" s="574"/>
      <c r="Q100" s="315">
        <f>50900-Q99</f>
        <v>29845.695652173912</v>
      </c>
      <c r="R100" s="773"/>
      <c r="S100" s="632" t="s">
        <v>354</v>
      </c>
      <c r="T100" s="650">
        <v>45961</v>
      </c>
      <c r="U100" s="657">
        <v>0</v>
      </c>
      <c r="V100" s="770"/>
      <c r="W100" s="542">
        <v>46015</v>
      </c>
      <c r="X100" s="761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55"/>
      <c r="J101" s="758"/>
      <c r="K101" s="288"/>
      <c r="L101" s="389">
        <v>9</v>
      </c>
      <c r="M101" s="507" t="s">
        <v>352</v>
      </c>
      <c r="N101" s="391" t="s">
        <v>302</v>
      </c>
      <c r="O101" s="557"/>
      <c r="P101" s="574">
        <v>0.05</v>
      </c>
      <c r="Q101" s="315">
        <f t="shared" si="9"/>
        <v>25450</v>
      </c>
      <c r="R101" s="773"/>
      <c r="S101" s="632" t="s">
        <v>355</v>
      </c>
      <c r="T101" s="650">
        <v>45961</v>
      </c>
      <c r="U101" s="657">
        <v>24232.35341725414</v>
      </c>
      <c r="V101" s="770"/>
      <c r="W101" s="542">
        <v>46009</v>
      </c>
      <c r="X101" s="761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55"/>
      <c r="J102" s="758"/>
      <c r="K102" s="288"/>
      <c r="L102" s="389">
        <v>9</v>
      </c>
      <c r="M102" s="507" t="s">
        <v>352</v>
      </c>
      <c r="N102" s="391" t="s">
        <v>304</v>
      </c>
      <c r="O102" s="557"/>
      <c r="P102" s="574">
        <v>0.05</v>
      </c>
      <c r="Q102" s="315">
        <f t="shared" si="9"/>
        <v>25450</v>
      </c>
      <c r="R102" s="774"/>
      <c r="S102" s="632" t="s">
        <v>356</v>
      </c>
      <c r="T102" s="650">
        <v>45961</v>
      </c>
      <c r="U102" s="657">
        <v>24232.35341725414</v>
      </c>
      <c r="V102" s="770"/>
      <c r="W102" s="542">
        <v>46058</v>
      </c>
      <c r="X102" s="761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55"/>
      <c r="J103" s="758"/>
      <c r="K103" s="288"/>
      <c r="L103" s="389">
        <v>9</v>
      </c>
      <c r="M103" s="507" t="s">
        <v>352</v>
      </c>
      <c r="N103" s="391" t="s">
        <v>357</v>
      </c>
      <c r="O103" s="557"/>
      <c r="P103" s="450"/>
      <c r="Q103" s="392">
        <v>-0.01</v>
      </c>
      <c r="R103" s="595"/>
      <c r="S103" s="632" t="s">
        <v>354</v>
      </c>
      <c r="T103" s="650">
        <v>45961</v>
      </c>
      <c r="U103" s="657">
        <v>0</v>
      </c>
      <c r="V103" s="770"/>
      <c r="W103" s="542">
        <f>W102</f>
        <v>46058</v>
      </c>
      <c r="X103" s="761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55"/>
      <c r="J104" s="758"/>
      <c r="K104" s="288"/>
      <c r="L104" s="389">
        <v>9</v>
      </c>
      <c r="M104" s="507" t="s">
        <v>352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70"/>
      <c r="W104" s="579"/>
      <c r="X104" s="761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56"/>
      <c r="J105" s="759"/>
      <c r="K105" s="364"/>
      <c r="L105" s="316">
        <v>9</v>
      </c>
      <c r="M105" s="447" t="s">
        <v>352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71"/>
      <c r="W105" s="580"/>
      <c r="X105" s="762"/>
      <c r="Y105" s="488"/>
    </row>
    <row r="106" spans="1:25" ht="13.9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358</v>
      </c>
      <c r="D107" s="270" t="s">
        <v>258</v>
      </c>
      <c r="E107" s="271"/>
      <c r="F107" s="476"/>
      <c r="G107" s="338">
        <f>D188</f>
        <v>8500</v>
      </c>
      <c r="H107" s="547">
        <v>45867</v>
      </c>
      <c r="I107" s="748">
        <f>SUM(G107:G127)</f>
        <v>106291.66666666667</v>
      </c>
      <c r="J107" s="748">
        <f>F188+F191+F192+F190</f>
        <v>125049.01960784313</v>
      </c>
      <c r="K107" s="339"/>
      <c r="L107" s="269">
        <v>10</v>
      </c>
      <c r="M107" s="440" t="s">
        <v>359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63">
        <f>J107-SUM(U107:U127)</f>
        <v>-4.1726943454705179E-3</v>
      </c>
      <c r="W107" s="589"/>
      <c r="X107" s="751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259</v>
      </c>
      <c r="E108" s="342"/>
      <c r="F108" s="477"/>
      <c r="G108" s="343">
        <f>D192</f>
        <v>31625</v>
      </c>
      <c r="H108" s="547">
        <v>45868</v>
      </c>
      <c r="I108" s="749"/>
      <c r="J108" s="749"/>
      <c r="K108" s="272"/>
      <c r="L108" s="340">
        <v>10</v>
      </c>
      <c r="M108" s="441" t="s">
        <v>359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64"/>
      <c r="W108" s="590"/>
      <c r="X108" s="752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49"/>
      <c r="J109" s="749"/>
      <c r="K109" s="272"/>
      <c r="L109" s="340">
        <v>10</v>
      </c>
      <c r="M109" s="441" t="s">
        <v>359</v>
      </c>
      <c r="N109" s="341" t="s">
        <v>360</v>
      </c>
      <c r="O109" s="570"/>
      <c r="P109" s="477"/>
      <c r="Q109" s="343">
        <v>32400</v>
      </c>
      <c r="R109" s="608" t="s">
        <v>361</v>
      </c>
      <c r="S109" s="644" t="s">
        <v>362</v>
      </c>
      <c r="T109" s="673">
        <v>45838</v>
      </c>
      <c r="U109" s="676">
        <v>25852.400684623008</v>
      </c>
      <c r="V109" s="764"/>
      <c r="W109" s="547">
        <v>45869</v>
      </c>
      <c r="X109" s="752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49"/>
      <c r="J110" s="749"/>
      <c r="K110" s="272"/>
      <c r="L110" s="340">
        <v>10</v>
      </c>
      <c r="M110" s="441" t="s">
        <v>359</v>
      </c>
      <c r="N110" s="341" t="s">
        <v>363</v>
      </c>
      <c r="O110" s="570"/>
      <c r="P110" s="477"/>
      <c r="Q110" s="343">
        <v>27900</v>
      </c>
      <c r="R110" s="608"/>
      <c r="S110" s="644" t="s">
        <v>364</v>
      </c>
      <c r="T110" s="673">
        <v>45900</v>
      </c>
      <c r="U110" s="681">
        <v>26751.017076052933</v>
      </c>
      <c r="V110" s="764"/>
      <c r="W110" s="547">
        <v>45911</v>
      </c>
      <c r="X110" s="752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49"/>
      <c r="J111" s="749"/>
      <c r="K111" s="272"/>
      <c r="L111" s="340">
        <v>10</v>
      </c>
      <c r="M111" s="441" t="s">
        <v>359</v>
      </c>
      <c r="N111" s="341" t="s">
        <v>365</v>
      </c>
      <c r="O111" s="570"/>
      <c r="P111" s="477"/>
      <c r="Q111" s="343">
        <v>22800</v>
      </c>
      <c r="R111" s="608" t="s">
        <v>366</v>
      </c>
      <c r="S111" s="644" t="s">
        <v>367</v>
      </c>
      <c r="T111" s="673">
        <v>45930</v>
      </c>
      <c r="U111" s="689">
        <v>17311.850295253818</v>
      </c>
      <c r="V111" s="764"/>
      <c r="W111" s="547">
        <v>45967</v>
      </c>
      <c r="X111" s="752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49"/>
      <c r="J112" s="749"/>
      <c r="K112" s="272"/>
      <c r="L112" s="340">
        <v>10</v>
      </c>
      <c r="M112" s="441" t="s">
        <v>359</v>
      </c>
      <c r="N112" s="341" t="s">
        <v>368</v>
      </c>
      <c r="O112" s="570"/>
      <c r="P112" s="477"/>
      <c r="Q112" s="343">
        <v>27900</v>
      </c>
      <c r="R112" s="608"/>
      <c r="S112" s="644" t="s">
        <v>369</v>
      </c>
      <c r="T112" s="683">
        <v>45930</v>
      </c>
      <c r="U112" s="689">
        <v>14421.769440244807</v>
      </c>
      <c r="V112" s="764"/>
      <c r="W112" s="547">
        <v>45939</v>
      </c>
      <c r="X112" s="752"/>
      <c r="Y112" s="488"/>
    </row>
    <row r="113" spans="1:25" ht="14.25" customHeight="1">
      <c r="B113" s="340">
        <v>10</v>
      </c>
      <c r="C113" s="341"/>
      <c r="D113" s="341" t="s">
        <v>370</v>
      </c>
      <c r="E113" s="342"/>
      <c r="F113" s="477"/>
      <c r="G113" s="343">
        <f>D191</f>
        <v>60000</v>
      </c>
      <c r="H113" s="590">
        <v>45931</v>
      </c>
      <c r="I113" s="749"/>
      <c r="J113" s="749"/>
      <c r="K113" s="272"/>
      <c r="L113" s="340">
        <v>10</v>
      </c>
      <c r="M113" s="441" t="s">
        <v>359</v>
      </c>
      <c r="N113" s="341" t="s">
        <v>371</v>
      </c>
      <c r="O113" s="570"/>
      <c r="P113" s="477"/>
      <c r="Q113" s="343">
        <v>27900</v>
      </c>
      <c r="R113" s="608"/>
      <c r="S113" s="644" t="s">
        <v>372</v>
      </c>
      <c r="T113" s="673">
        <v>45961</v>
      </c>
      <c r="U113" s="689">
        <v>0</v>
      </c>
      <c r="V113" s="764"/>
      <c r="W113" s="547">
        <v>45967</v>
      </c>
      <c r="X113" s="752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49"/>
      <c r="J114" s="749"/>
      <c r="K114" s="272"/>
      <c r="L114" s="340">
        <v>10</v>
      </c>
      <c r="M114" s="441" t="s">
        <v>359</v>
      </c>
      <c r="N114" s="341" t="s">
        <v>373</v>
      </c>
      <c r="O114" s="570"/>
      <c r="P114" s="477"/>
      <c r="Q114" s="343">
        <v>27900</v>
      </c>
      <c r="R114" s="608"/>
      <c r="S114" s="644" t="s">
        <v>374</v>
      </c>
      <c r="T114" s="673">
        <v>45991</v>
      </c>
      <c r="U114" s="689">
        <v>0</v>
      </c>
      <c r="V114" s="764"/>
      <c r="W114" s="547">
        <v>46003</v>
      </c>
      <c r="X114" s="752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49"/>
      <c r="J115" s="749"/>
      <c r="K115" s="272"/>
      <c r="L115" s="340">
        <v>10</v>
      </c>
      <c r="M115" s="441" t="s">
        <v>359</v>
      </c>
      <c r="N115" s="341" t="s">
        <v>375</v>
      </c>
      <c r="O115" s="570"/>
      <c r="P115" s="477"/>
      <c r="Q115" s="343">
        <v>6750</v>
      </c>
      <c r="R115" s="608"/>
      <c r="S115" s="644" t="s">
        <v>376</v>
      </c>
      <c r="T115" s="673">
        <v>46022</v>
      </c>
      <c r="U115" s="689">
        <v>0</v>
      </c>
      <c r="V115" s="764"/>
      <c r="W115" s="547">
        <v>46051</v>
      </c>
      <c r="X115" s="752"/>
      <c r="Y115" s="488"/>
    </row>
    <row r="116" spans="1:25" ht="14.25" customHeight="1">
      <c r="B116" s="340">
        <v>10</v>
      </c>
      <c r="C116" s="341"/>
      <c r="D116" s="341" t="s">
        <v>260</v>
      </c>
      <c r="E116" s="342"/>
      <c r="F116" s="477"/>
      <c r="G116" s="343">
        <f>D190</f>
        <v>6166.6666666666661</v>
      </c>
      <c r="H116" s="590">
        <v>45932</v>
      </c>
      <c r="I116" s="749"/>
      <c r="J116" s="749"/>
      <c r="K116" s="272"/>
      <c r="L116" s="340">
        <v>10</v>
      </c>
      <c r="M116" s="441" t="s">
        <v>359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64"/>
      <c r="W116" s="590"/>
      <c r="X116" s="752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49"/>
      <c r="J117" s="749"/>
      <c r="K117" s="272"/>
      <c r="L117" s="340">
        <v>10</v>
      </c>
      <c r="M117" s="441" t="s">
        <v>359</v>
      </c>
      <c r="N117" s="341" t="s">
        <v>291</v>
      </c>
      <c r="O117" s="625">
        <v>44320</v>
      </c>
      <c r="P117" s="577">
        <v>0.1</v>
      </c>
      <c r="Q117" s="343">
        <f>$O$117*P117</f>
        <v>4432</v>
      </c>
      <c r="R117" s="788" t="s">
        <v>292</v>
      </c>
      <c r="S117" s="645" t="s">
        <v>293</v>
      </c>
      <c r="T117" s="660">
        <f t="shared" si="8"/>
        <v>45808</v>
      </c>
      <c r="U117" s="672">
        <v>3372.7924470664602</v>
      </c>
      <c r="V117" s="764"/>
      <c r="W117" s="548">
        <f>W94</f>
        <v>45792</v>
      </c>
      <c r="X117" s="752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49"/>
      <c r="J118" s="749"/>
      <c r="K118" s="272"/>
      <c r="L118" s="340">
        <v>10</v>
      </c>
      <c r="M118" s="441" t="s">
        <v>359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89"/>
      <c r="S118" s="645" t="s">
        <v>294</v>
      </c>
      <c r="T118" s="660">
        <v>45838</v>
      </c>
      <c r="U118" s="677">
        <v>5468.08962195598</v>
      </c>
      <c r="V118" s="764"/>
      <c r="W118" s="548">
        <f>W95</f>
        <v>45834</v>
      </c>
      <c r="X118" s="752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49"/>
      <c r="J119" s="749"/>
      <c r="K119" s="272"/>
      <c r="L119" s="340">
        <v>10</v>
      </c>
      <c r="M119" s="441" t="s">
        <v>359</v>
      </c>
      <c r="N119" s="341" t="s">
        <v>295</v>
      </c>
      <c r="O119" s="570"/>
      <c r="P119" s="577">
        <v>0.2</v>
      </c>
      <c r="Q119" s="343">
        <f t="shared" si="12"/>
        <v>8864</v>
      </c>
      <c r="R119" s="789"/>
      <c r="S119" s="645" t="s">
        <v>296</v>
      </c>
      <c r="T119" s="660">
        <v>45900</v>
      </c>
      <c r="U119" s="672">
        <v>8498.9611240907961</v>
      </c>
      <c r="V119" s="764"/>
      <c r="W119" s="548">
        <f>W96</f>
        <v>45974</v>
      </c>
      <c r="X119" s="752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49"/>
      <c r="J120" s="749"/>
      <c r="K120" s="272"/>
      <c r="L120" s="340">
        <v>10</v>
      </c>
      <c r="M120" s="441" t="s">
        <v>359</v>
      </c>
      <c r="N120" s="341" t="s">
        <v>297</v>
      </c>
      <c r="O120" s="570"/>
      <c r="P120" s="577">
        <v>0.25</v>
      </c>
      <c r="Q120" s="343">
        <f t="shared" si="12"/>
        <v>11080</v>
      </c>
      <c r="R120" s="789"/>
      <c r="S120" s="645" t="s">
        <v>298</v>
      </c>
      <c r="T120" s="660">
        <v>45900</v>
      </c>
      <c r="U120" s="672">
        <v>10623.701405113494</v>
      </c>
      <c r="V120" s="764"/>
      <c r="W120" s="548">
        <v>46006</v>
      </c>
      <c r="X120" s="752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49"/>
      <c r="J121" s="749"/>
      <c r="K121" s="272"/>
      <c r="L121" s="340">
        <v>10</v>
      </c>
      <c r="M121" s="441" t="s">
        <v>359</v>
      </c>
      <c r="N121" s="341" t="s">
        <v>178</v>
      </c>
      <c r="O121" s="570"/>
      <c r="P121" s="577">
        <v>0.1</v>
      </c>
      <c r="Q121" s="343">
        <f t="shared" si="12"/>
        <v>4432</v>
      </c>
      <c r="R121" s="789"/>
      <c r="S121" s="645" t="s">
        <v>299</v>
      </c>
      <c r="T121" s="660">
        <v>45900</v>
      </c>
      <c r="U121" s="672">
        <v>4249.4805620453981</v>
      </c>
      <c r="V121" s="764"/>
      <c r="W121" s="548">
        <v>46009</v>
      </c>
      <c r="X121" s="752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49"/>
      <c r="J122" s="749"/>
      <c r="K122" s="272"/>
      <c r="L122" s="340">
        <v>10</v>
      </c>
      <c r="M122" s="441" t="s">
        <v>359</v>
      </c>
      <c r="N122" s="341" t="s">
        <v>300</v>
      </c>
      <c r="O122" s="570"/>
      <c r="P122" s="577">
        <v>0.1</v>
      </c>
      <c r="Q122" s="343">
        <f t="shared" si="12"/>
        <v>4432</v>
      </c>
      <c r="R122" s="789"/>
      <c r="S122" s="645" t="s">
        <v>301</v>
      </c>
      <c r="T122" s="660">
        <v>45900</v>
      </c>
      <c r="U122" s="672">
        <v>4249.4805620453981</v>
      </c>
      <c r="V122" s="764"/>
      <c r="W122" s="548">
        <v>46015</v>
      </c>
      <c r="X122" s="752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49"/>
      <c r="J123" s="749"/>
      <c r="K123" s="272"/>
      <c r="L123" s="340">
        <v>10</v>
      </c>
      <c r="M123" s="441" t="s">
        <v>359</v>
      </c>
      <c r="N123" s="341" t="s">
        <v>302</v>
      </c>
      <c r="O123" s="570"/>
      <c r="P123" s="577">
        <v>0.05</v>
      </c>
      <c r="Q123" s="343">
        <f t="shared" si="12"/>
        <v>2216</v>
      </c>
      <c r="R123" s="789"/>
      <c r="S123" s="645" t="s">
        <v>303</v>
      </c>
      <c r="T123" s="660">
        <v>45900</v>
      </c>
      <c r="U123" s="672">
        <v>2124.740281022699</v>
      </c>
      <c r="V123" s="764"/>
      <c r="W123" s="548">
        <v>46015</v>
      </c>
      <c r="X123" s="752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49"/>
      <c r="J124" s="749"/>
      <c r="K124" s="272"/>
      <c r="L124" s="340">
        <v>10</v>
      </c>
      <c r="M124" s="441" t="s">
        <v>359</v>
      </c>
      <c r="N124" s="341" t="s">
        <v>304</v>
      </c>
      <c r="O124" s="570"/>
      <c r="P124" s="577">
        <v>0.05</v>
      </c>
      <c r="Q124" s="343">
        <f t="shared" si="12"/>
        <v>2216</v>
      </c>
      <c r="R124" s="790"/>
      <c r="S124" s="645" t="s">
        <v>305</v>
      </c>
      <c r="T124" s="660">
        <v>45900</v>
      </c>
      <c r="U124" s="672">
        <v>2124.740281022699</v>
      </c>
      <c r="V124" s="764"/>
      <c r="W124" s="548">
        <f>W102</f>
        <v>46058</v>
      </c>
      <c r="X124" s="752"/>
      <c r="Y124" s="488"/>
    </row>
    <row r="125" spans="1:25" ht="14.2" customHeight="1">
      <c r="B125" s="340">
        <v>10</v>
      </c>
      <c r="C125" s="341"/>
      <c r="D125" s="341"/>
      <c r="E125" s="342"/>
      <c r="F125" s="477"/>
      <c r="G125" s="343"/>
      <c r="H125" s="591"/>
      <c r="I125" s="749"/>
      <c r="J125" s="749"/>
      <c r="K125" s="272"/>
      <c r="L125" s="340">
        <v>10</v>
      </c>
      <c r="M125" s="441" t="s">
        <v>359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64"/>
      <c r="W125" s="591"/>
      <c r="X125" s="752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49"/>
      <c r="J126" s="749"/>
      <c r="K126" s="272"/>
      <c r="L126" s="340">
        <v>10</v>
      </c>
      <c r="M126" s="441" t="s">
        <v>359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64"/>
      <c r="W126" s="591"/>
      <c r="X126" s="752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50"/>
      <c r="J127" s="750"/>
      <c r="K127" s="275"/>
      <c r="L127" s="273">
        <v>10</v>
      </c>
      <c r="M127" s="442" t="s">
        <v>359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65"/>
      <c r="W127" s="592"/>
      <c r="X127" s="753"/>
      <c r="Y127" s="488"/>
    </row>
    <row r="128" spans="1:25" ht="13.9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377</v>
      </c>
      <c r="D129" s="351" t="s">
        <v>378</v>
      </c>
      <c r="E129" s="283"/>
      <c r="F129" s="443"/>
      <c r="G129" s="284">
        <v>12733</v>
      </c>
      <c r="H129" s="585">
        <v>45930</v>
      </c>
      <c r="I129" s="757">
        <f>SUM(G129:G133)</f>
        <v>125199</v>
      </c>
      <c r="J129" s="757">
        <f>F187</f>
        <v>147292.9411764706</v>
      </c>
      <c r="K129" s="285"/>
      <c r="L129" s="281">
        <v>11</v>
      </c>
      <c r="M129" s="351" t="s">
        <v>379</v>
      </c>
      <c r="N129" s="351" t="s">
        <v>378</v>
      </c>
      <c r="O129" s="283"/>
      <c r="P129" s="443"/>
      <c r="Q129" s="284">
        <v>13977.96</v>
      </c>
      <c r="R129" s="601"/>
      <c r="S129" s="638" t="s">
        <v>380</v>
      </c>
      <c r="T129" s="663">
        <v>45869</v>
      </c>
      <c r="U129" s="671">
        <v>56993.364120250895</v>
      </c>
      <c r="V129" s="769">
        <f>J129-SUM(U129:U133)</f>
        <v>1.2806575396098197E-3</v>
      </c>
      <c r="W129" s="585">
        <v>46058</v>
      </c>
      <c r="X129" s="782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381</v>
      </c>
      <c r="E130" s="314"/>
      <c r="F130" s="465"/>
      <c r="G130" s="315">
        <v>25466</v>
      </c>
      <c r="H130" s="585">
        <v>45931</v>
      </c>
      <c r="I130" s="758"/>
      <c r="J130" s="758"/>
      <c r="K130" s="288"/>
      <c r="L130" s="311">
        <v>11</v>
      </c>
      <c r="M130" s="395" t="s">
        <v>379</v>
      </c>
      <c r="N130" s="313" t="s">
        <v>381</v>
      </c>
      <c r="O130" s="314"/>
      <c r="P130" s="465"/>
      <c r="Q130" s="315">
        <v>7811.75</v>
      </c>
      <c r="R130" s="594" t="s">
        <v>382</v>
      </c>
      <c r="S130" s="631" t="s">
        <v>383</v>
      </c>
      <c r="T130" s="654">
        <v>45777</v>
      </c>
      <c r="U130" s="656">
        <v>34198.965165004767</v>
      </c>
      <c r="V130" s="770"/>
      <c r="W130" s="655">
        <v>45757</v>
      </c>
      <c r="X130" s="783"/>
      <c r="Y130" s="488"/>
    </row>
    <row r="131" spans="1:25" ht="15" customHeight="1">
      <c r="B131" s="311">
        <v>11</v>
      </c>
      <c r="C131" s="313"/>
      <c r="D131" s="313" t="s">
        <v>384</v>
      </c>
      <c r="E131" s="314"/>
      <c r="F131" s="465"/>
      <c r="G131" s="315">
        <v>80000</v>
      </c>
      <c r="H131" s="585">
        <v>45932</v>
      </c>
      <c r="I131" s="758"/>
      <c r="J131" s="758"/>
      <c r="K131" s="288"/>
      <c r="L131" s="311">
        <v>11</v>
      </c>
      <c r="M131" s="395" t="s">
        <v>379</v>
      </c>
      <c r="N131" s="313" t="s">
        <v>385</v>
      </c>
      <c r="O131" s="314"/>
      <c r="P131" s="465"/>
      <c r="Q131" s="315">
        <v>79700</v>
      </c>
      <c r="R131" s="594" t="s">
        <v>386</v>
      </c>
      <c r="S131" s="631"/>
      <c r="T131" s="524">
        <v>46081</v>
      </c>
      <c r="U131" s="508">
        <v>0</v>
      </c>
      <c r="V131" s="770"/>
      <c r="W131" s="578">
        <f>T131</f>
        <v>46081</v>
      </c>
      <c r="X131" s="783"/>
      <c r="Y131" s="488"/>
    </row>
    <row r="132" spans="1:25" ht="15" customHeight="1">
      <c r="B132" s="311">
        <v>11</v>
      </c>
      <c r="C132" s="393"/>
      <c r="D132" s="393" t="s">
        <v>387</v>
      </c>
      <c r="E132" s="412"/>
      <c r="F132" s="450"/>
      <c r="G132" s="392">
        <v>7000</v>
      </c>
      <c r="H132" s="585">
        <v>45933</v>
      </c>
      <c r="I132" s="758"/>
      <c r="J132" s="758"/>
      <c r="K132" s="288"/>
      <c r="L132" s="311">
        <v>11</v>
      </c>
      <c r="M132" s="395" t="s">
        <v>379</v>
      </c>
      <c r="N132" s="393" t="s">
        <v>387</v>
      </c>
      <c r="O132" s="412"/>
      <c r="P132" s="450"/>
      <c r="Q132" s="392">
        <v>5100</v>
      </c>
      <c r="R132" s="595" t="s">
        <v>388</v>
      </c>
      <c r="S132" s="632" t="s">
        <v>389</v>
      </c>
      <c r="T132" s="650">
        <v>45777</v>
      </c>
      <c r="U132" s="657">
        <v>22327.227873590979</v>
      </c>
      <c r="V132" s="770"/>
      <c r="W132" s="542">
        <v>45834</v>
      </c>
      <c r="X132" s="783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59"/>
      <c r="J133" s="759"/>
      <c r="K133" s="289"/>
      <c r="L133" s="316">
        <v>11</v>
      </c>
      <c r="M133" s="425" t="s">
        <v>379</v>
      </c>
      <c r="N133" s="317" t="s">
        <v>390</v>
      </c>
      <c r="O133" s="558"/>
      <c r="P133" s="466"/>
      <c r="Q133" s="330">
        <v>8000</v>
      </c>
      <c r="R133" s="596"/>
      <c r="S133" s="633" t="s">
        <v>391</v>
      </c>
      <c r="T133" s="705">
        <v>46022</v>
      </c>
      <c r="U133" s="708">
        <v>33773.382736966421</v>
      </c>
      <c r="V133" s="771"/>
      <c r="W133" s="712">
        <f>T133+30</f>
        <v>46052</v>
      </c>
      <c r="X133" s="784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392</v>
      </c>
      <c r="D135" s="270" t="s">
        <v>393</v>
      </c>
      <c r="E135" s="271"/>
      <c r="F135" s="476"/>
      <c r="G135" s="338">
        <v>66493.463377598528</v>
      </c>
      <c r="H135" s="585">
        <v>45936</v>
      </c>
      <c r="I135" s="748">
        <f>SUM(G135:G136)</f>
        <v>88657.951170131375</v>
      </c>
      <c r="J135" s="748">
        <v>0</v>
      </c>
      <c r="K135" s="798"/>
      <c r="L135" s="269">
        <v>12</v>
      </c>
      <c r="M135" s="270" t="s">
        <v>394</v>
      </c>
      <c r="N135" s="270" t="s">
        <v>393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1">
        <f>SUM(Q135:Q136)</f>
        <v>0</v>
      </c>
      <c r="Y135" s="488"/>
    </row>
    <row r="136" spans="1:25" ht="15" customHeight="1" thickBot="1">
      <c r="B136" s="273">
        <v>12</v>
      </c>
      <c r="C136" s="344" t="s">
        <v>392</v>
      </c>
      <c r="D136" s="344" t="s">
        <v>395</v>
      </c>
      <c r="E136" s="345"/>
      <c r="F136" s="478"/>
      <c r="G136" s="274">
        <v>22164.487792532847</v>
      </c>
      <c r="H136" s="585">
        <v>45937</v>
      </c>
      <c r="I136" s="750"/>
      <c r="J136" s="750"/>
      <c r="K136" s="799"/>
      <c r="L136" s="273">
        <v>12</v>
      </c>
      <c r="M136" s="344" t="s">
        <v>394</v>
      </c>
      <c r="N136" s="344" t="s">
        <v>395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3"/>
      <c r="Y136" s="488"/>
    </row>
    <row r="137" spans="1:25" ht="14.2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396</v>
      </c>
      <c r="D138" s="351" t="s">
        <v>397</v>
      </c>
      <c r="E138" s="283"/>
      <c r="F138" s="443"/>
      <c r="G138" s="284">
        <v>42414.838094202903</v>
      </c>
      <c r="H138" s="585">
        <v>45939</v>
      </c>
      <c r="I138" s="757">
        <f>SUM(G138:G142)</f>
        <v>166246.0038084886</v>
      </c>
      <c r="J138" s="757">
        <f>F186</f>
        <v>188915.91341873704</v>
      </c>
      <c r="K138" s="285"/>
      <c r="L138" s="281">
        <v>13</v>
      </c>
      <c r="M138" s="351" t="s">
        <v>398</v>
      </c>
      <c r="N138" s="351" t="s">
        <v>399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69">
        <f>J138-SUM(U138:U143)</f>
        <v>0</v>
      </c>
      <c r="W138" s="585">
        <v>46080</v>
      </c>
      <c r="X138" s="782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400</v>
      </c>
      <c r="E139" s="314"/>
      <c r="F139" s="465"/>
      <c r="G139" s="315">
        <v>28571.428571428572</v>
      </c>
      <c r="H139" s="585">
        <v>45940</v>
      </c>
      <c r="I139" s="758"/>
      <c r="J139" s="758"/>
      <c r="K139" s="288"/>
      <c r="L139" s="311">
        <v>13</v>
      </c>
      <c r="M139" s="395" t="s">
        <v>398</v>
      </c>
      <c r="N139" s="313" t="s">
        <v>400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70"/>
      <c r="W139" s="578"/>
      <c r="X139" s="783"/>
      <c r="Y139" s="488"/>
    </row>
    <row r="140" spans="1:25" ht="15.75" customHeight="1">
      <c r="B140" s="311">
        <v>13</v>
      </c>
      <c r="C140" s="313"/>
      <c r="D140" s="313" t="s">
        <v>401</v>
      </c>
      <c r="E140" s="314"/>
      <c r="F140" s="465"/>
      <c r="G140" s="315">
        <v>34000</v>
      </c>
      <c r="H140" s="585">
        <v>45941</v>
      </c>
      <c r="I140" s="758"/>
      <c r="J140" s="758"/>
      <c r="K140" s="288"/>
      <c r="L140" s="311">
        <v>13</v>
      </c>
      <c r="M140" s="395" t="s">
        <v>398</v>
      </c>
      <c r="N140" s="313" t="s">
        <v>401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70"/>
      <c r="W140" s="578"/>
      <c r="X140" s="783"/>
      <c r="Y140" s="488"/>
    </row>
    <row r="141" spans="1:25" ht="15.75" customHeight="1">
      <c r="B141" s="311">
        <v>13</v>
      </c>
      <c r="C141" s="313"/>
      <c r="D141" s="313" t="s">
        <v>402</v>
      </c>
      <c r="E141" s="314"/>
      <c r="F141" s="465"/>
      <c r="G141" s="315">
        <v>37142.857142857145</v>
      </c>
      <c r="H141" s="585">
        <v>45942</v>
      </c>
      <c r="I141" s="758"/>
      <c r="J141" s="758"/>
      <c r="K141" s="288"/>
      <c r="L141" s="311">
        <v>13</v>
      </c>
      <c r="M141" s="395" t="s">
        <v>398</v>
      </c>
      <c r="N141" s="313" t="s">
        <v>402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70"/>
      <c r="W141" s="578"/>
      <c r="X141" s="783"/>
      <c r="Y141" s="488"/>
    </row>
    <row r="142" spans="1:25" ht="15.75" customHeight="1">
      <c r="B142" s="311">
        <v>13</v>
      </c>
      <c r="C142" s="313"/>
      <c r="D142" s="313" t="s">
        <v>403</v>
      </c>
      <c r="E142" s="314"/>
      <c r="F142" s="465"/>
      <c r="G142" s="315">
        <v>24116.879999999997</v>
      </c>
      <c r="H142" s="585">
        <v>45943</v>
      </c>
      <c r="I142" s="758"/>
      <c r="J142" s="758"/>
      <c r="K142" s="288"/>
      <c r="L142" s="311">
        <v>13</v>
      </c>
      <c r="M142" s="395" t="s">
        <v>398</v>
      </c>
      <c r="N142" s="313" t="s">
        <v>403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70"/>
      <c r="W142" s="578"/>
      <c r="X142" s="783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59"/>
      <c r="J143" s="759"/>
      <c r="K143" s="364"/>
      <c r="L143" s="316">
        <v>13</v>
      </c>
      <c r="M143" s="425" t="s">
        <v>398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71"/>
      <c r="W143" s="580"/>
      <c r="X143" s="784"/>
      <c r="Y143" s="488"/>
    </row>
    <row r="144" spans="1:25" ht="14.2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404</v>
      </c>
      <c r="D145" s="270" t="s">
        <v>405</v>
      </c>
      <c r="E145" s="271"/>
      <c r="F145" s="476"/>
      <c r="G145" s="338">
        <v>8750</v>
      </c>
      <c r="H145" s="653">
        <v>45785</v>
      </c>
      <c r="I145" s="748">
        <f>SUM(G145:G156)</f>
        <v>8750</v>
      </c>
      <c r="J145" s="748">
        <f>F197</f>
        <v>10294.117647058823</v>
      </c>
      <c r="K145" s="339"/>
      <c r="L145" s="269">
        <v>14</v>
      </c>
      <c r="M145" s="440" t="s">
        <v>406</v>
      </c>
      <c r="N145" s="270" t="s">
        <v>407</v>
      </c>
      <c r="O145" s="569"/>
      <c r="P145" s="476"/>
      <c r="Q145" s="338">
        <v>1182.26</v>
      </c>
      <c r="R145" s="607"/>
      <c r="S145" s="643" t="s">
        <v>408</v>
      </c>
      <c r="T145" s="652">
        <v>45777</v>
      </c>
      <c r="U145" s="658">
        <v>1343.7091934439072</v>
      </c>
      <c r="V145" s="763">
        <f>J145-SUM(U145:U156)</f>
        <v>1.9270995089755161E-3</v>
      </c>
      <c r="W145" s="653">
        <v>45785</v>
      </c>
      <c r="X145" s="751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49"/>
      <c r="J146" s="749"/>
      <c r="K146" s="272"/>
      <c r="L146" s="340">
        <v>14</v>
      </c>
      <c r="M146" s="441" t="s">
        <v>406</v>
      </c>
      <c r="N146" s="341" t="s">
        <v>407</v>
      </c>
      <c r="O146" s="570"/>
      <c r="P146" s="477"/>
      <c r="Q146" s="343">
        <v>0</v>
      </c>
      <c r="R146" s="609"/>
      <c r="S146" s="645" t="s">
        <v>408</v>
      </c>
      <c r="T146" s="660">
        <v>45808</v>
      </c>
      <c r="U146" s="522">
        <f>(Q146/$X$145*$J$145)</f>
        <v>0</v>
      </c>
      <c r="V146" s="764"/>
      <c r="W146" s="548">
        <v>45808</v>
      </c>
      <c r="X146" s="752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49"/>
      <c r="J147" s="749"/>
      <c r="K147" s="272"/>
      <c r="L147" s="340">
        <v>14</v>
      </c>
      <c r="M147" s="441" t="s">
        <v>406</v>
      </c>
      <c r="N147" s="341" t="s">
        <v>407</v>
      </c>
      <c r="O147" s="570"/>
      <c r="P147" s="477"/>
      <c r="Q147" s="343">
        <v>3211.84</v>
      </c>
      <c r="R147" s="609"/>
      <c r="S147" s="645" t="s">
        <v>408</v>
      </c>
      <c r="T147" s="660">
        <v>45838</v>
      </c>
      <c r="U147" s="677">
        <v>4165.4796446232021</v>
      </c>
      <c r="V147" s="764"/>
      <c r="W147" s="548">
        <v>45842</v>
      </c>
      <c r="X147" s="752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49"/>
      <c r="J148" s="749"/>
      <c r="K148" s="272"/>
      <c r="L148" s="340">
        <v>14</v>
      </c>
      <c r="M148" s="441" t="s">
        <v>406</v>
      </c>
      <c r="N148" s="341" t="s">
        <v>407</v>
      </c>
      <c r="O148" s="570"/>
      <c r="P148" s="477"/>
      <c r="Q148" s="343">
        <v>0</v>
      </c>
      <c r="R148" s="609"/>
      <c r="S148" s="645" t="s">
        <v>408</v>
      </c>
      <c r="T148" s="660">
        <v>45869</v>
      </c>
      <c r="U148" s="522">
        <f>(Q148/$X$145*$J$145)</f>
        <v>0</v>
      </c>
      <c r="V148" s="764"/>
      <c r="W148" s="548">
        <v>45876</v>
      </c>
      <c r="X148" s="752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49"/>
      <c r="J149" s="749"/>
      <c r="K149" s="272"/>
      <c r="L149" s="340">
        <v>14</v>
      </c>
      <c r="M149" s="441" t="s">
        <v>406</v>
      </c>
      <c r="N149" s="341" t="s">
        <v>407</v>
      </c>
      <c r="O149" s="570"/>
      <c r="P149" s="477"/>
      <c r="Q149" s="343">
        <v>542.64</v>
      </c>
      <c r="R149" s="609"/>
      <c r="S149" s="645" t="s">
        <v>408</v>
      </c>
      <c r="T149" s="660">
        <v>45900</v>
      </c>
      <c r="U149" s="672">
        <v>925.33387225555498</v>
      </c>
      <c r="V149" s="764"/>
      <c r="W149" s="548">
        <v>45905</v>
      </c>
      <c r="X149" s="752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49"/>
      <c r="J150" s="749"/>
      <c r="K150" s="272"/>
      <c r="L150" s="340">
        <v>14</v>
      </c>
      <c r="M150" s="441" t="s">
        <v>406</v>
      </c>
      <c r="N150" s="341" t="s">
        <v>407</v>
      </c>
      <c r="O150" s="570"/>
      <c r="P150" s="477"/>
      <c r="Q150" s="343">
        <v>1085.28</v>
      </c>
      <c r="R150" s="609"/>
      <c r="S150" s="645" t="s">
        <v>408</v>
      </c>
      <c r="T150" s="686">
        <v>45930</v>
      </c>
      <c r="U150" s="688">
        <f>2921.70774451111-937.88</f>
        <v>1983.8277445111098</v>
      </c>
      <c r="V150" s="764"/>
      <c r="W150" s="687">
        <v>45930</v>
      </c>
      <c r="X150" s="752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49"/>
      <c r="J151" s="749"/>
      <c r="K151" s="272"/>
      <c r="L151" s="340">
        <v>14</v>
      </c>
      <c r="M151" s="441" t="s">
        <v>406</v>
      </c>
      <c r="N151" s="341" t="s">
        <v>407</v>
      </c>
      <c r="O151" s="570"/>
      <c r="P151" s="477"/>
      <c r="Q151" s="343">
        <v>3791.54</v>
      </c>
      <c r="R151" s="609"/>
      <c r="S151" s="645" t="s">
        <v>408</v>
      </c>
      <c r="T151" s="686">
        <v>45961</v>
      </c>
      <c r="U151" s="688">
        <v>1080.8052651255412</v>
      </c>
      <c r="V151" s="764"/>
      <c r="W151" s="687">
        <v>45967</v>
      </c>
      <c r="X151" s="752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49"/>
      <c r="J152" s="749"/>
      <c r="K152" s="272"/>
      <c r="L152" s="340">
        <v>14</v>
      </c>
      <c r="M152" s="441" t="s">
        <v>406</v>
      </c>
      <c r="N152" s="341" t="s">
        <v>407</v>
      </c>
      <c r="O152" s="570"/>
      <c r="P152" s="477"/>
      <c r="Q152" s="343">
        <v>2115.3000000000002</v>
      </c>
      <c r="R152" s="609"/>
      <c r="S152" s="645" t="s">
        <v>408</v>
      </c>
      <c r="T152" s="686">
        <v>45991</v>
      </c>
      <c r="U152" s="688">
        <v>794.96</v>
      </c>
      <c r="V152" s="764"/>
      <c r="W152" s="687">
        <v>45996</v>
      </c>
      <c r="X152" s="752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49"/>
      <c r="J153" s="749"/>
      <c r="K153" s="272"/>
      <c r="L153" s="340">
        <v>14</v>
      </c>
      <c r="M153" s="441" t="s">
        <v>406</v>
      </c>
      <c r="N153" s="341" t="s">
        <v>407</v>
      </c>
      <c r="O153" s="570"/>
      <c r="P153" s="477"/>
      <c r="Q153" s="706">
        <v>533.12</v>
      </c>
      <c r="R153" s="609"/>
      <c r="S153" s="645" t="s">
        <v>408</v>
      </c>
      <c r="T153" s="686">
        <v>46022</v>
      </c>
      <c r="U153" s="688">
        <v>0</v>
      </c>
      <c r="V153" s="764"/>
      <c r="W153" s="687">
        <v>46030</v>
      </c>
      <c r="X153" s="752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49"/>
      <c r="J154" s="749"/>
      <c r="K154" s="272"/>
      <c r="L154" s="340">
        <v>14</v>
      </c>
      <c r="M154" s="441" t="s">
        <v>406</v>
      </c>
      <c r="N154" s="341" t="s">
        <v>407</v>
      </c>
      <c r="O154" s="570"/>
      <c r="P154" s="477"/>
      <c r="Q154" s="343">
        <v>971.04</v>
      </c>
      <c r="R154" s="609"/>
      <c r="S154" s="645" t="s">
        <v>408</v>
      </c>
      <c r="T154" s="686">
        <v>46053</v>
      </c>
      <c r="U154" s="522">
        <v>0</v>
      </c>
      <c r="V154" s="764"/>
      <c r="W154" s="591">
        <v>46058</v>
      </c>
      <c r="X154" s="752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49"/>
      <c r="J155" s="749"/>
      <c r="K155" s="272"/>
      <c r="L155" s="340">
        <v>14</v>
      </c>
      <c r="M155" s="441" t="s">
        <v>406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64"/>
      <c r="W155" s="591"/>
      <c r="X155" s="752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50"/>
      <c r="J156" s="750"/>
      <c r="K156" s="275"/>
      <c r="L156" s="273">
        <v>14</v>
      </c>
      <c r="M156" s="442" t="s">
        <v>406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65"/>
      <c r="W156" s="592"/>
      <c r="X156" s="753"/>
      <c r="Y156" s="488"/>
    </row>
    <row r="157" spans="1:25" ht="14.2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409</v>
      </c>
      <c r="D158" s="282" t="s">
        <v>410</v>
      </c>
      <c r="E158" s="283"/>
      <c r="F158" s="443"/>
      <c r="G158" s="284">
        <f>D194</f>
        <v>750000</v>
      </c>
      <c r="H158" s="545">
        <v>45849</v>
      </c>
      <c r="I158" s="757">
        <f>SUM(G158:G169)</f>
        <v>750000</v>
      </c>
      <c r="J158" s="757">
        <f>F194</f>
        <v>750000</v>
      </c>
      <c r="K158" s="285"/>
      <c r="L158" s="281">
        <v>15</v>
      </c>
      <c r="M158" s="351" t="s">
        <v>411</v>
      </c>
      <c r="N158" s="282" t="s">
        <v>412</v>
      </c>
      <c r="O158" s="283"/>
      <c r="P158" s="443"/>
      <c r="Q158" s="284">
        <f>714000/2</f>
        <v>357000</v>
      </c>
      <c r="R158" s="601"/>
      <c r="S158" s="638" t="s">
        <v>413</v>
      </c>
      <c r="T158" s="663">
        <v>45838</v>
      </c>
      <c r="U158" s="671">
        <v>375000</v>
      </c>
      <c r="V158" s="769">
        <f>J158-SUM(U158:U169)</f>
        <v>0</v>
      </c>
      <c r="W158" s="545">
        <v>45849</v>
      </c>
      <c r="X158" s="782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58"/>
      <c r="J159" s="758"/>
      <c r="K159" s="288"/>
      <c r="L159" s="311">
        <v>15</v>
      </c>
      <c r="M159" s="395" t="s">
        <v>411</v>
      </c>
      <c r="N159" s="313" t="s">
        <v>414</v>
      </c>
      <c r="O159" s="556"/>
      <c r="P159" s="465"/>
      <c r="Q159" s="315">
        <v>357000</v>
      </c>
      <c r="R159" s="594"/>
      <c r="S159" s="631" t="s">
        <v>413</v>
      </c>
      <c r="T159" s="651">
        <v>45838</v>
      </c>
      <c r="U159" s="665">
        <v>375000</v>
      </c>
      <c r="V159" s="770"/>
      <c r="W159" s="541">
        <v>46037</v>
      </c>
      <c r="X159" s="783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58"/>
      <c r="J160" s="758"/>
      <c r="K160" s="288"/>
      <c r="L160" s="311">
        <v>15</v>
      </c>
      <c r="M160" s="395" t="s">
        <v>411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70"/>
      <c r="W160" s="578"/>
      <c r="X160" s="783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58"/>
      <c r="J161" s="758"/>
      <c r="K161" s="288"/>
      <c r="L161" s="311">
        <v>15</v>
      </c>
      <c r="M161" s="395" t="s">
        <v>411</v>
      </c>
      <c r="N161" s="313" t="s">
        <v>415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70"/>
      <c r="W161" s="578"/>
      <c r="X161" s="783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58"/>
      <c r="J162" s="758"/>
      <c r="K162" s="288"/>
      <c r="L162" s="311">
        <v>15</v>
      </c>
      <c r="M162" s="395" t="s">
        <v>411</v>
      </c>
      <c r="N162" s="313" t="s">
        <v>416</v>
      </c>
      <c r="O162" s="556"/>
      <c r="P162" s="465"/>
      <c r="Q162" s="315">
        <v>7350</v>
      </c>
      <c r="R162" s="594" t="s">
        <v>417</v>
      </c>
      <c r="S162" s="631" t="s">
        <v>418</v>
      </c>
      <c r="T162" s="651">
        <v>45991</v>
      </c>
      <c r="U162" s="508">
        <v>0</v>
      </c>
      <c r="V162" s="770"/>
      <c r="W162" s="655">
        <v>45961</v>
      </c>
      <c r="X162" s="783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58"/>
      <c r="J163" s="758"/>
      <c r="K163" s="288"/>
      <c r="L163" s="311">
        <v>15</v>
      </c>
      <c r="M163" s="395" t="s">
        <v>411</v>
      </c>
      <c r="N163" s="313" t="s">
        <v>419</v>
      </c>
      <c r="O163" s="556"/>
      <c r="P163" s="465"/>
      <c r="Q163" s="315">
        <v>4950</v>
      </c>
      <c r="R163" s="594" t="s">
        <v>420</v>
      </c>
      <c r="S163" s="631" t="s">
        <v>421</v>
      </c>
      <c r="T163" s="651">
        <v>45991</v>
      </c>
      <c r="U163" s="508">
        <v>0</v>
      </c>
      <c r="V163" s="770"/>
      <c r="W163" s="541">
        <v>45989</v>
      </c>
      <c r="X163" s="783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58"/>
      <c r="J164" s="758"/>
      <c r="K164" s="288"/>
      <c r="L164" s="311">
        <v>15</v>
      </c>
      <c r="M164" s="395" t="s">
        <v>411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70"/>
      <c r="W164" s="578"/>
      <c r="X164" s="783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58"/>
      <c r="J165" s="758"/>
      <c r="K165" s="288"/>
      <c r="L165" s="311">
        <v>15</v>
      </c>
      <c r="M165" s="395" t="s">
        <v>411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70"/>
      <c r="W165" s="578"/>
      <c r="X165" s="783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58"/>
      <c r="J166" s="758"/>
      <c r="K166" s="288"/>
      <c r="L166" s="311">
        <v>15</v>
      </c>
      <c r="M166" s="395" t="s">
        <v>411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70"/>
      <c r="W166" s="578"/>
      <c r="X166" s="783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58"/>
      <c r="J167" s="758"/>
      <c r="K167" s="288"/>
      <c r="L167" s="311">
        <v>15</v>
      </c>
      <c r="M167" s="395" t="s">
        <v>411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70"/>
      <c r="W167" s="578"/>
      <c r="X167" s="783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58"/>
      <c r="J168" s="758"/>
      <c r="K168" s="288"/>
      <c r="L168" s="311">
        <v>15</v>
      </c>
      <c r="M168" s="395" t="s">
        <v>411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70"/>
      <c r="W168" s="578"/>
      <c r="X168" s="783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59"/>
      <c r="J169" s="759"/>
      <c r="K169" s="289"/>
      <c r="L169" s="316">
        <v>15</v>
      </c>
      <c r="M169" s="425" t="s">
        <v>411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71"/>
      <c r="W169" s="580"/>
      <c r="X169" s="784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422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423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424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286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325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307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425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426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427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428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429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430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431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432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433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434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435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436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437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438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439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440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427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441</v>
      </c>
      <c r="D196" s="648"/>
      <c r="E196" s="550"/>
      <c r="F196" s="648"/>
      <c r="I196" s="256"/>
      <c r="J196" s="256"/>
    </row>
    <row r="197" spans="3:10" s="112" customFormat="1">
      <c r="C197" s="648" t="s">
        <v>442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8"/>
    <mergeCell ref="V30:V45"/>
    <mergeCell ref="X21:X28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B2:G2"/>
    <mergeCell ref="L2:Q2"/>
    <mergeCell ref="I6:I11"/>
    <mergeCell ref="J6:J11"/>
    <mergeCell ref="R2:W2"/>
    <mergeCell ref="I21:I28"/>
    <mergeCell ref="J21:J28"/>
    <mergeCell ref="I30:I45"/>
    <mergeCell ref="J30:J45"/>
    <mergeCell ref="X30:X45"/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1"/>
  </cols>
  <sheetData>
    <row r="1" spans="1:794">
      <c r="D1" s="187" t="s">
        <v>443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444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157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238073.65000000002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445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4523399.3500000006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801"/>
      <c r="B5" s="199" t="s">
        <v>159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801"/>
      <c r="B6" s="199" t="s">
        <v>446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801"/>
      <c r="B7" s="204" t="s">
        <v>447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116558.34748514835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800" t="s">
        <v>148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448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449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801"/>
      <c r="B11" s="212" t="s">
        <v>450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193238.32500000001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01"/>
      <c r="B12" s="212" t="s">
        <v>451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3920714.7900000005</v>
      </c>
      <c r="BL12" s="214">
        <f t="shared" si="26"/>
        <v>3920714.7900000005</v>
      </c>
      <c r="BM12" s="214">
        <f t="shared" si="26"/>
        <v>3920714.7900000005</v>
      </c>
      <c r="BN12" s="214">
        <f t="shared" si="26"/>
        <v>3920714.7900000005</v>
      </c>
      <c r="BO12" s="214">
        <f t="shared" si="26"/>
        <v>3920714.7900000005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452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840758.2099999995</v>
      </c>
      <c r="BL14" s="207">
        <f t="shared" si="32"/>
        <v>840758.2099999995</v>
      </c>
      <c r="BM14" s="207">
        <f t="shared" si="32"/>
        <v>840758.2099999995</v>
      </c>
      <c r="BN14" s="207">
        <f t="shared" si="32"/>
        <v>840758.2099999995</v>
      </c>
      <c r="BO14" s="207">
        <f t="shared" si="32"/>
        <v>840758.2099999995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2"/>
      <c r="B17" s="195" t="s">
        <v>453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2"/>
      <c r="B18" s="195" t="s">
        <v>454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3125" defaultRowHeight="14.25"/>
  <cols>
    <col min="1" max="1" width="39.46484375" style="366" bestFit="1" customWidth="1"/>
    <col min="2" max="2" width="17.33203125" style="367" bestFit="1" customWidth="1"/>
    <col min="3" max="3" width="12" style="366" bestFit="1" customWidth="1"/>
    <col min="4" max="5" width="14.9296875" style="366" bestFit="1" customWidth="1"/>
    <col min="6" max="6" width="12" style="366" bestFit="1" customWidth="1"/>
    <col min="7" max="7" width="13.33203125" style="366" bestFit="1" customWidth="1"/>
    <col min="8" max="9" width="12" style="366" bestFit="1" customWidth="1"/>
    <col min="10" max="10" width="11.59765625" style="366" bestFit="1" customWidth="1"/>
    <col min="11" max="11" width="12" style="366" bestFit="1" customWidth="1"/>
    <col min="12" max="12" width="4.9296875" style="366" bestFit="1" customWidth="1"/>
    <col min="13" max="13" width="10.53125" style="366" bestFit="1" customWidth="1"/>
    <col min="14" max="14" width="13" style="366" bestFit="1" customWidth="1"/>
    <col min="15" max="15" width="14.9296875" style="366" bestFit="1" customWidth="1"/>
    <col min="16" max="16" width="14.46484375" style="366" bestFit="1" customWidth="1"/>
    <col min="17" max="18" width="11.46484375" style="366" bestFit="1" customWidth="1"/>
    <col min="19" max="19" width="13.53125" style="366" bestFit="1" customWidth="1"/>
    <col min="20" max="16384" width="12.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455</v>
      </c>
      <c r="B3" s="452" t="s">
        <v>456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459</v>
      </c>
      <c r="P4"/>
      <c r="Q4"/>
      <c r="R4"/>
      <c r="S4"/>
      <c r="T4"/>
    </row>
    <row r="5" spans="1:20">
      <c r="A5" s="453" t="s">
        <v>458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240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253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264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282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308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326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352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359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379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406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411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459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6484375" defaultRowHeight="14.25"/>
  <cols>
    <col min="1" max="1" width="21.59765625" bestFit="1" customWidth="1"/>
    <col min="2" max="2" width="17.33203125" style="413" bestFit="1" customWidth="1"/>
    <col min="3" max="3" width="12" style="413" bestFit="1" customWidth="1"/>
    <col min="4" max="5" width="14.9296875" style="413" bestFit="1" customWidth="1"/>
    <col min="6" max="6" width="12" style="413" bestFit="1" customWidth="1"/>
    <col min="7" max="7" width="13.33203125" style="413" bestFit="1" customWidth="1"/>
    <col min="8" max="8" width="12" style="413" bestFit="1" customWidth="1"/>
    <col min="9" max="9" width="13.33203125" style="413" bestFit="1" customWidth="1"/>
    <col min="10" max="12" width="12" bestFit="1" customWidth="1"/>
    <col min="13" max="13" width="4.9296875" bestFit="1" customWidth="1"/>
    <col min="14" max="14" width="13.33203125" bestFit="1" customWidth="1"/>
    <col min="15" max="15" width="14.9296875" bestFit="1" customWidth="1"/>
    <col min="16" max="16" width="17.46484375" bestFit="1" customWidth="1"/>
    <col min="17" max="18" width="11.53125" bestFit="1" customWidth="1"/>
    <col min="19" max="19" width="13.46484375" bestFit="1" customWidth="1"/>
  </cols>
  <sheetData>
    <row r="3" spans="1:16">
      <c r="A3" s="452" t="s">
        <v>460</v>
      </c>
      <c r="B3" s="452" t="s">
        <v>456</v>
      </c>
      <c r="C3"/>
      <c r="D3"/>
      <c r="E3"/>
      <c r="F3"/>
      <c r="G3"/>
      <c r="H3"/>
      <c r="I3"/>
    </row>
    <row r="4" spans="1:16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459</v>
      </c>
    </row>
    <row r="5" spans="1:16">
      <c r="A5" s="453" t="s">
        <v>458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240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253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264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282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308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326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333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352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359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379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398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406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411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331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459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804" t="s">
        <v>461</v>
      </c>
      <c r="C2" s="804"/>
      <c r="D2" s="804"/>
      <c r="E2" s="804"/>
      <c r="H2" s="805" t="s">
        <v>462</v>
      </c>
      <c r="I2" s="806"/>
      <c r="J2" s="806"/>
      <c r="K2" s="806"/>
      <c r="L2" s="806"/>
      <c r="M2" s="806"/>
      <c r="N2" s="806"/>
      <c r="O2" s="807"/>
    </row>
    <row r="3" spans="2:15">
      <c r="B3" s="692"/>
      <c r="H3" s="808"/>
      <c r="I3" s="809"/>
      <c r="J3" s="809"/>
      <c r="K3" s="809"/>
      <c r="L3" s="809"/>
      <c r="M3" s="809"/>
      <c r="N3" s="809"/>
      <c r="O3" s="810"/>
    </row>
    <row r="4" spans="2:15">
      <c r="B4" s="693" t="s">
        <v>463</v>
      </c>
      <c r="C4" s="694" t="str">
        <f>'Project Plan'!E2</f>
        <v>Pretoria North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3" t="s">
        <v>464</v>
      </c>
      <c r="C5" s="694" t="s">
        <v>465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3" t="s">
        <v>466</v>
      </c>
      <c r="C6" s="694" t="s">
        <v>467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3" t="s">
        <v>468</v>
      </c>
      <c r="C7" s="694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2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469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4.65" thickBot="1">
      <c r="B10" s="814" t="s">
        <v>470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95" t="s">
        <v>471</v>
      </c>
      <c r="C11" s="803" t="s">
        <v>472</v>
      </c>
      <c r="D11" s="803"/>
      <c r="E11" s="803"/>
    </row>
    <row r="12" spans="2:15">
      <c r="B12" s="695" t="s">
        <v>473</v>
      </c>
      <c r="C12" s="803" t="s">
        <v>472</v>
      </c>
      <c r="D12" s="803"/>
      <c r="E12" s="803"/>
    </row>
    <row r="13" spans="2:15">
      <c r="B13" s="695" t="s">
        <v>474</v>
      </c>
      <c r="C13" s="803" t="s">
        <v>472</v>
      </c>
      <c r="D13" s="803"/>
      <c r="E13" s="803"/>
    </row>
    <row r="14" spans="2:15">
      <c r="B14" s="695" t="s">
        <v>475</v>
      </c>
      <c r="C14" s="803" t="s">
        <v>476</v>
      </c>
      <c r="D14" s="803"/>
      <c r="E14" s="803"/>
    </row>
    <row r="15" spans="2:15">
      <c r="B15" s="695" t="s">
        <v>477</v>
      </c>
      <c r="C15" s="803" t="s">
        <v>478</v>
      </c>
      <c r="D15" s="803"/>
      <c r="E15" s="803"/>
    </row>
    <row r="16" spans="2:15" ht="15" customHeight="1">
      <c r="B16" s="695" t="s">
        <v>479</v>
      </c>
      <c r="C16" s="803" t="s">
        <v>480</v>
      </c>
      <c r="D16" s="803"/>
      <c r="E16" s="803"/>
    </row>
    <row r="17" spans="2:5">
      <c r="B17" s="692"/>
    </row>
    <row r="18" spans="2:5">
      <c r="B18" s="815" t="s">
        <v>481</v>
      </c>
      <c r="C18" s="815"/>
      <c r="D18" s="815"/>
      <c r="E18" s="815"/>
    </row>
    <row r="19" spans="2:5">
      <c r="B19" s="695" t="s">
        <v>482</v>
      </c>
      <c r="C19" s="695" t="s">
        <v>483</v>
      </c>
      <c r="D19" s="695" t="s">
        <v>484</v>
      </c>
      <c r="E19" s="695" t="s">
        <v>62</v>
      </c>
    </row>
    <row r="20" spans="2:5" ht="15" customHeight="1">
      <c r="B20" s="695" t="s">
        <v>485</v>
      </c>
      <c r="C20" s="695" t="s">
        <v>486</v>
      </c>
      <c r="D20" s="696" t="s">
        <v>487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488</v>
      </c>
    </row>
    <row r="2" spans="1:4">
      <c r="A2" s="817"/>
      <c r="B2" s="817"/>
      <c r="C2" s="817"/>
      <c r="D2" s="71"/>
    </row>
    <row r="3" spans="1:4">
      <c r="A3" s="816" t="s">
        <v>489</v>
      </c>
      <c r="B3" s="816"/>
      <c r="C3" s="816"/>
      <c r="D3" s="111">
        <v>0.32</v>
      </c>
    </row>
    <row r="4" spans="1:4">
      <c r="A4" s="816" t="s">
        <v>430</v>
      </c>
      <c r="B4" s="816"/>
      <c r="C4" s="816"/>
      <c r="D4" s="111">
        <v>0.5</v>
      </c>
    </row>
    <row r="5" spans="1:4">
      <c r="A5" s="816" t="s">
        <v>441</v>
      </c>
      <c r="B5" s="816"/>
      <c r="C5" s="816"/>
      <c r="D5" s="111">
        <v>0.15</v>
      </c>
    </row>
    <row r="6" spans="1:4">
      <c r="A6" s="816" t="s">
        <v>490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18" t="s">
        <v>491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 ht="13.15">
      <c r="B4" s="92" t="s">
        <v>492</v>
      </c>
      <c r="C4" s="86"/>
      <c r="D4" s="90" t="s">
        <v>493</v>
      </c>
      <c r="E4" s="95"/>
      <c r="F4" s="90" t="s">
        <v>494</v>
      </c>
      <c r="H4" s="90" t="s">
        <v>495</v>
      </c>
      <c r="I4" s="95"/>
      <c r="J4" s="90" t="s">
        <v>496</v>
      </c>
      <c r="L4" s="90" t="s">
        <v>495</v>
      </c>
      <c r="M4" s="90"/>
      <c r="N4" s="90" t="s">
        <v>497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498</v>
      </c>
      <c r="H7" s="99"/>
      <c r="I7" s="95"/>
      <c r="J7" s="107" t="s">
        <v>498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500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501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498</v>
      </c>
      <c r="H15" s="99"/>
      <c r="I15" s="95"/>
      <c r="J15" s="107" t="s">
        <v>498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502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498</v>
      </c>
      <c r="H21" s="99"/>
      <c r="I21" s="95"/>
      <c r="J21" s="107" t="s">
        <v>498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283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501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498</v>
      </c>
      <c r="H27" s="99"/>
      <c r="I27" s="95"/>
      <c r="J27" s="107" t="s">
        <v>498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503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498</v>
      </c>
      <c r="H34" s="99"/>
      <c r="I34" s="95"/>
      <c r="J34" s="107" t="s">
        <v>498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510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818" t="s">
        <v>512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 ht="13.15">
      <c r="B4" s="92" t="s">
        <v>492</v>
      </c>
      <c r="C4" s="86"/>
      <c r="D4" s="90" t="s">
        <v>493</v>
      </c>
      <c r="E4" s="95"/>
      <c r="F4" s="95"/>
      <c r="G4" s="90" t="s">
        <v>513</v>
      </c>
      <c r="H4" s="96"/>
      <c r="J4" s="90" t="s">
        <v>495</v>
      </c>
      <c r="L4" s="90" t="s">
        <v>514</v>
      </c>
      <c r="M4" s="96"/>
      <c r="O4" s="90" t="s">
        <v>495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510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492</v>
      </c>
      <c r="C18" s="86"/>
      <c r="D18" s="90" t="s">
        <v>493</v>
      </c>
      <c r="E18" s="95"/>
      <c r="F18" s="95"/>
      <c r="G18" s="90" t="s">
        <v>516</v>
      </c>
      <c r="H18" s="96"/>
      <c r="J18" s="90" t="s">
        <v>495</v>
      </c>
      <c r="L18" s="90" t="s">
        <v>517</v>
      </c>
      <c r="M18" s="96"/>
      <c r="O18" s="90" t="s">
        <v>495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520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521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510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523</v>
      </c>
      <c r="C32" s="103"/>
      <c r="D32" s="103"/>
    </row>
    <row r="33" spans="2:4" ht="13.15" thickTop="1"/>
    <row r="34" spans="2:4">
      <c r="B34" s="88" t="s">
        <v>493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33203125" customWidth="1"/>
    <col min="10" max="10" width="19.53125" bestFit="1" customWidth="1"/>
  </cols>
  <sheetData>
    <row r="1" spans="2:14">
      <c r="B1" s="820" t="str">
        <f>D15</f>
        <v>Pretoria North</v>
      </c>
      <c r="C1" s="820"/>
      <c r="D1" s="820"/>
      <c r="E1" s="819" t="s">
        <v>525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526</v>
      </c>
      <c r="C3" s="72" t="s">
        <v>527</v>
      </c>
      <c r="D3" s="72" t="s">
        <v>528</v>
      </c>
      <c r="E3" s="78" t="s">
        <v>529</v>
      </c>
      <c r="F3" s="78" t="s">
        <v>530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2026-02-17T11:19:13Z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