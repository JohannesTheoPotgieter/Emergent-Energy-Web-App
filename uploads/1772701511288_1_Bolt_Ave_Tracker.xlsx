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2" documentId="13_ncr:1_{B3D11D9D-ACDC-4ADD-A33B-74D9022BB6CF}" xr6:coauthVersionLast="47" xr6:coauthVersionMax="47" xr10:uidLastSave="{FECFF7C8-F36B-4F56-89A5-B695403127E3}"/>
  <bookViews>
    <workbookView xWindow="-108" yWindow="-108" windowWidth="23256" windowHeight="12456" tabRatio="661" firstSheet="10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AA30" i="18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 s="1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/>
  <c r="K46" i="2"/>
  <c r="K51" i="2"/>
  <c r="N51" i="2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52" i="2"/>
  <c r="J46" i="2"/>
  <c r="U20" i="2"/>
  <c r="V20" i="2"/>
  <c r="N35" i="2" l="1"/>
  <c r="N11" i="2"/>
  <c r="N39" i="2"/>
  <c r="N21" i="2"/>
  <c r="N28" i="2"/>
  <c r="N46" i="2"/>
  <c r="N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<sst xmlns="http://schemas.openxmlformats.org/spreadsheetml/2006/main" count="935" uniqueCount="539">
  <si>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</si>
  <si>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</si>
  <si>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</si>
  <si>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</si>
  <si>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</si>
  <si>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</si>
  <si>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</si>
  <si>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</si>
  <si>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</si>
  <si>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</si>
  <si>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</si>
  <si>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</si>
  <si>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</si>
  <si>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</si>
  <si>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</si>
  <si>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</si>
  <si>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</si>
  <si>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</si>
  <si>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</si>
  <si>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</si>
  <si>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</si>
  <si>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</si>
  <si>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</si>
  <si>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</si>
  <si>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</si>
  <si>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</si>
  <si>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</si>
  <si>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</si>
  <si>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</si>
  <si>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</si>
  <si>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</si>
  <si>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</si>
  <si>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</si>
  <si>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</si>
  <si>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</si>
  <si>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</si>
  <si>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</si>
  <si>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</si>
  <si>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</si>
  <si>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</si>
  <si>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</si>
  <si>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</si>
  <si>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</si>
  <si>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</si>
  <si>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</si>
  <si>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</si>
  <si>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</si>
  <si>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</si>
  <si>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</si>
  <si>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</si>
  <si>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</si>
  <si>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</si>
  <si>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</si>
  <si>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</si>
  <si>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</si>
  <si>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</si>
  <si>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</si>
  <si>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</si>
  <si>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</si>
  <si>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</si>
  <si>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</si>
  <si>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</si>
  <si>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</si>
  <si>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</si>
  <si>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</si>
  <si>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</si>
  <si>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</si>
  <si>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</si>
  <si>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</si>
  <si>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</si>
  <si>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</si>
  <si>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</si>
  <si>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</si>
  <si>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</si>
  <si>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</si>
  <si>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</si>
  <si>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</si>
  <si>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</si>
  <si>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</si>
  <si>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</si>
  <si>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</si>
  <si>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</si>
  <si>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</si>
  <si>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</si>
  <si>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</si>
  <si>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</si>
  <si>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</si>
  <si>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</si>
  <si>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</si>
  <si>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</si>
  <si>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</si>
  <si>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</si>
  <si>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</si>
  <si>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</si>
  <si>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</si>
  <si>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</si>
  <si>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</si>
  <si>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</si>
  <si>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</si>
  <si>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</si>
  <si>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</si>
  <si>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</si>
  <si>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</si>
  <si>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</si>
  <si>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</si>
  <si>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</si>
  <si>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</si>
  <si>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</si>
  <si>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</si>
  <si>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</si>
  <si>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</si>
  <si>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</si>
  <si>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</si>
  <si>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</si>
  <si>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</si>
  <si>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</si>
  <si>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</si>
  <si>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</si>
  <si>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</si>
  <si>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</si>
  <si>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</si>
  <si>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</si>
  <si>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</si>
  <si>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</si>
  <si>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</si>
  <si>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</si>
  <si>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</si>
  <si>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</si>
  <si>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</si>
  <si>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</si>
  <si>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</si>
  <si>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</si>
  <si>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</si>
  <si>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</si>
  <si>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</si>
  <si>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</si>
  <si>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</si>
  <si>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</si>
  <si>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</si>
  <si>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</si>
  <si>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</si>
  <si>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</si>
  <si>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</si>
  <si>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</si>
  <si>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</si>
  <si>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</si>
  <si>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</si>
  <si>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</si>
  <si>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</si>
  <si>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</si>
  <si>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</si>
  <si>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</si>
  <si>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</si>
  <si>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</si>
  <si>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</si>
  <si>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</si>
  <si>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</si>
  <si>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</si>
  <si>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</si>
  <si>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</si>
  <si>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</si>
  <si>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</si>
  <si>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</si>
  <si>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</si>
  <si>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</si>
  <si>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</si>
  <si>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</si>
  <si>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</si>
  <si>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</si>
  <si>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</si>
  <si>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</si>
  <si>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</si>
  <si>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</si>
  <si>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</si>
  <si>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</si>
  <si>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</si>
  <si>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</si>
  <si>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</si>
  <si>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</si>
  <si>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</si>
  <si>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</si>
  <si>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</si>
  <si>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</si>
  <si>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</si>
  <si>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</si>
  <si>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</si>
  <si>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</si>
  <si>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</si>
  <si>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</si>
  <si>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</si>
  <si>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</si>
  <si>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</si>
  <si>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</si>
  <si>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</si>
  <si>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</si>
  <si>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</si>
  <si>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</si>
  <si>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</si>
  <si>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</si>
  <si>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</si>
  <si>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</si>
  <si>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</si>
  <si>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</si>
  <si>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</si>
  <si>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</si>
  <si>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</si>
  <si>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</si>
  <si>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</si>
  <si>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</si>
  <si>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</si>
  <si>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</si>
  <si>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</si>
  <si>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</si>
  <si>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</si>
  <si>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</si>
  <si>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</si>
  <si>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</si>
  <si>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</si>
  <si>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</si>
  <si>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</si>
  <si>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</si>
  <si>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</si>
  <si>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</si>
  <si>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</si>
  <si>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</si>
  <si>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</si>
  <si>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</si>
  <si>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</si>
  <si>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</si>
  <si>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</si>
  <si>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</si>
  <si>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</si>
  <si>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</si>
  <si>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</si>
  <si>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</si>
  <si>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</si>
  <si>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</si>
  <si>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</si>
  <si>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</si>
  <si>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</si>
  <si>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</si>
  <si>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</si>
  <si>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</si>
  <si>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</si>
  <si>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</si>
  <si>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</si>
  <si>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</si>
  <si>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</si>
  <si>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</si>
  <si>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</si>
  <si>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</si>
  <si>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</si>
  <si>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</si>
  <si>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</si>
  <si>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</si>
  <si>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</si>
  <si>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</si>
  <si>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</si>
  <si>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</si>
  <si>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</si>
  <si>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</si>
  <si>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</si>
  <si>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</si>
  <si>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</si>
  <si>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</si>
  <si>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</si>
  <si>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</si>
  <si>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</si>
  <si>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</si>
  <si>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</si>
  <si>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</si>
  <si>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</si>
  <si>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</si>
  <si>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</si>
  <si>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</si>
  <si>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</si>
  <si>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</si>
  <si>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</si>
  <si>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</si>
  <si>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</si>
  <si>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</si>
  <si>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</si>
  <si>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</si>
  <si>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</si>
  <si>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</si>
  <si>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</si>
  <si>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</si>
  <si>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</si>
  <si>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</si>
  <si>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</si>
  <si>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</si>
  <si>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</si>
  <si>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</si>
  <si>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</si>
  <si>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</si>
  <si>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</si>
  <si>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</si>
  <si>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</si>
  <si>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</si>
  <si>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</si>
  <si>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</si>
  <si>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</si>
  <si>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</si>
  <si>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</si>
  <si>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</si>
  <si>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</si>
  <si>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</si>
  <si>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</si>
  <si>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</si>
  <si>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</si>
  <si>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</si>
  <si>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</si>
  <si>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</si>
  <si>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</si>
  <si>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</si>
  <si>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</si>
  <si>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</si>
  <si>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</si>
  <si>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</si>
  <si>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</si>
  <si>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</si>
  <si>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</si>
  <si>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</si>
  <si>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</si>
  <si>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</si>
  <si>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</si>
  <si>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</si>
  <si>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</si>
  <si>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</si>
  <si>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</si>
  <si>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</si>
  <si>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</si>
  <si>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</si>
  <si>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</si>
  <si>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</si>
  <si>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</si>
  <si>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</si>
  <si>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</si>
  <si>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</si>
  <si>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</si>
  <si>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</si>
  <si>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</si>
  <si>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</si>
  <si>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</si>
  <si>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</si>
  <si>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</si>
  <si>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</si>
  <si>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</si>
  <si>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</si>
  <si>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</si>
  <si>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</si>
  <si>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</si>
  <si>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</si>
  <si>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</si>
  <si>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</si>
  <si>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</si>
  <si>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</si>
  <si>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</si>
  <si>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</si>
  <si>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</si>
  <si>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</si>
  <si>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</si>
  <si>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</si>
  <si>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</si>
  <si>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</si>
  <si>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</si>
  <si>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</si>
  <si>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</si>
  <si>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</si>
  <si>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</si>
  <si>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</si>
  <si>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</si>
  <si>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</si>
  <si>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</si>
  <si>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</si>
  <si>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</si>
  <si>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</si>
  <si>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</si>
  <si>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</si>
  <si>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</si>
  <si>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</si>
  <si>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</si>
  <si>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</si>
  <si>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</si>
  <si>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</si>
  <si>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</si>
  <si>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</si>
  <si>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</si>
  <si>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</si>
  <si>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</si>
  <si>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</si>
  <si>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</si>
  <si>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</si>
  <si>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</si>
  <si>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</si>
  <si>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</si>
  <si>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</si>
  <si>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</si>
  <si>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</si>
  <si>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</si>
  <si>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</si>
  <si>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</si>
  <si>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</si>
  <si>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</si>
  <si>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</si>
  <si>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</si>
  <si>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</si>
  <si>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</si>
  <si>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</si>
  <si>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</si>
  <si>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</si>
  <si>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</si>
  <si>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</si>
  <si>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</si>
  <si>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</si>
  <si>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</si>
  <si>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</si>
  <si>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</si>
  <si>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</si>
  <si>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</si>
  <si>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</si>
  <si>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</si>
  <si>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</si>
  <si>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</si>
  <si>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</si>
  <si>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</si>
  <si>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</si>
  <si>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</si>
  <si>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</si>
  <si>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</si>
  <si>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</si>
  <si>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</si>
  <si>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</si>
  <si>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</si>
  <si>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</si>
  <si>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</si>
  <si>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</si>
  <si>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</si>
  <si>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</si>
  <si>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</si>
  <si>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</si>
  <si>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</si>
  <si>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</si>
  <si>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</si>
  <si>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</si>
  <si>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Matriarch - INV-6571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</si>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</sst>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6" fontId="6" fillId="10" borderId="79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6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00" t="s">
        <v>57</v>
      </c>
      <c r="E47" s="800"/>
      <c r="F47" s="801"/>
      <c r="G47" s="67"/>
      <c r="I47" s="68"/>
      <c r="J47" s="68"/>
    </row>
    <row r="48" spans="1:49" ht="14.4" thickBot="1">
      <c r="C48" s="69">
        <v>44014</v>
      </c>
      <c r="D48" s="802"/>
      <c r="E48" s="802"/>
      <c r="F48" s="80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6" t="s">
        <v>58</v>
      </c>
      <c r="C2" s="806"/>
      <c r="D2" s="806"/>
      <c r="E2" s="806"/>
      <c r="H2" s="807" t="s">
        <v>59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61</v>
      </c>
      <c r="C5" s="683" t="s">
        <v>62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65</v>
      </c>
      <c r="C7" s="683" t="s">
        <v>66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1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67</v>
      </c>
      <c r="C9" s="816"/>
      <c r="D9" s="816"/>
      <c r="E9" s="816"/>
      <c r="H9" s="810"/>
      <c r="I9" s="811"/>
      <c r="J9" s="811"/>
      <c r="K9" s="811"/>
      <c r="L9" s="811"/>
      <c r="M9" s="811"/>
      <c r="N9" s="811"/>
      <c r="O9" s="812"/>
    </row>
    <row r="10" spans="2:15" ht="15" thickBot="1">
      <c r="B10" s="816" t="s">
        <v>68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684" t="s">
        <v>69</v>
      </c>
      <c r="C11" s="804" t="s">
        <v>70</v>
      </c>
      <c r="D11" s="804"/>
      <c r="E11" s="804"/>
    </row>
    <row r="12" spans="2:15">
      <c r="B12" s="684" t="s">
        <v>71</v>
      </c>
      <c r="C12" s="804" t="s">
        <v>70</v>
      </c>
      <c r="D12" s="804"/>
      <c r="E12" s="804"/>
    </row>
    <row r="13" spans="2:15">
      <c r="B13" s="684" t="s">
        <v>72</v>
      </c>
      <c r="C13" s="804" t="s">
        <v>70</v>
      </c>
      <c r="D13" s="804"/>
      <c r="E13" s="804"/>
    </row>
    <row r="14" spans="2:15">
      <c r="B14" s="684" t="s">
        <v>73</v>
      </c>
      <c r="C14" s="804" t="s">
        <v>74</v>
      </c>
      <c r="D14" s="804"/>
      <c r="E14" s="804"/>
    </row>
    <row r="15" spans="2:15">
      <c r="B15" s="684" t="s">
        <v>75</v>
      </c>
      <c r="C15" s="804" t="s">
        <v>76</v>
      </c>
      <c r="D15" s="804"/>
      <c r="E15" s="804"/>
    </row>
    <row r="16" spans="2:15" ht="15" customHeight="1">
      <c r="B16" s="684" t="s">
        <v>77</v>
      </c>
      <c r="C16" s="804" t="s">
        <v>78</v>
      </c>
      <c r="D16" s="804"/>
      <c r="E16" s="804"/>
    </row>
    <row r="17" spans="2:5">
      <c r="B17" s="681"/>
    </row>
    <row r="18" spans="2:5">
      <c r="B18" s="805" t="s">
        <v>79</v>
      </c>
      <c r="C18" s="805"/>
      <c r="D18" s="805"/>
      <c r="E18" s="805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6" t="s">
        <v>87</v>
      </c>
      <c r="C2" s="806"/>
      <c r="D2" s="806"/>
      <c r="E2" s="806"/>
      <c r="H2" s="807" t="s">
        <v>88</v>
      </c>
      <c r="I2" s="808"/>
      <c r="J2" s="808"/>
      <c r="K2" s="808"/>
      <c r="L2" s="808"/>
      <c r="M2" s="808"/>
      <c r="N2" s="808"/>
      <c r="O2" s="809"/>
    </row>
    <row r="3" spans="2:15">
      <c r="B3" s="681"/>
      <c r="H3" s="810"/>
      <c r="I3" s="811"/>
      <c r="J3" s="811"/>
      <c r="K3" s="811"/>
      <c r="L3" s="811"/>
      <c r="M3" s="811"/>
      <c r="N3" s="811"/>
      <c r="O3" s="812"/>
    </row>
    <row r="4" spans="2:15">
      <c r="B4" s="682" t="s">
        <v>60</v>
      </c>
      <c r="C4" s="683" t="str">
        <f>'Project Plan'!E2</f>
        <v>1 Bolt Ave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82" t="s">
        <v>89</v>
      </c>
      <c r="C5" s="683"/>
      <c r="H5" s="810"/>
      <c r="I5" s="811"/>
      <c r="J5" s="811"/>
      <c r="K5" s="811"/>
      <c r="L5" s="811"/>
      <c r="M5" s="811"/>
      <c r="N5" s="811"/>
      <c r="O5" s="812"/>
    </row>
    <row r="6" spans="2:15">
      <c r="B6" s="682" t="s">
        <v>63</v>
      </c>
      <c r="C6" s="683" t="s">
        <v>64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82" t="s">
        <v>90</v>
      </c>
      <c r="C7" s="683" t="s">
        <v>91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82" t="s">
        <v>92</v>
      </c>
      <c r="C8" s="683"/>
      <c r="H8" s="810"/>
      <c r="I8" s="811"/>
      <c r="J8" s="811"/>
      <c r="K8" s="811"/>
      <c r="L8" s="811"/>
      <c r="M8" s="811"/>
      <c r="N8" s="811"/>
      <c r="O8" s="812"/>
    </row>
    <row r="9" spans="2:15">
      <c r="B9" s="681"/>
      <c r="H9" s="810"/>
      <c r="I9" s="811"/>
      <c r="J9" s="811"/>
      <c r="K9" s="811"/>
      <c r="L9" s="811"/>
      <c r="M9" s="811"/>
      <c r="N9" s="811"/>
      <c r="O9" s="812"/>
    </row>
    <row r="10" spans="2:15">
      <c r="B10" s="816" t="s">
        <v>67</v>
      </c>
      <c r="C10" s="816"/>
      <c r="D10" s="816"/>
      <c r="E10" s="816"/>
      <c r="H10" s="810"/>
      <c r="I10" s="811"/>
      <c r="J10" s="811"/>
      <c r="K10" s="811"/>
      <c r="L10" s="811"/>
      <c r="M10" s="811"/>
      <c r="N10" s="811"/>
      <c r="O10" s="812"/>
    </row>
    <row r="11" spans="2:15" ht="15" thickBot="1">
      <c r="B11" s="816" t="s">
        <v>68</v>
      </c>
      <c r="C11" s="816"/>
      <c r="D11" s="816"/>
      <c r="E11" s="816"/>
      <c r="H11" s="813"/>
      <c r="I11" s="814"/>
      <c r="J11" s="814"/>
      <c r="K11" s="814"/>
      <c r="L11" s="814"/>
      <c r="M11" s="814"/>
      <c r="N11" s="814"/>
      <c r="O11" s="815"/>
    </row>
    <row r="12" spans="2:15" ht="26.4">
      <c r="B12" s="684" t="s">
        <v>93</v>
      </c>
      <c r="C12" s="804"/>
      <c r="D12" s="804"/>
      <c r="E12" s="804"/>
    </row>
    <row r="13" spans="2:15">
      <c r="B13" s="684" t="s">
        <v>94</v>
      </c>
      <c r="C13" s="804"/>
      <c r="D13" s="804"/>
      <c r="E13" s="804"/>
    </row>
    <row r="14" spans="2:15">
      <c r="B14" s="684" t="s">
        <v>95</v>
      </c>
      <c r="C14" s="804"/>
      <c r="D14" s="804"/>
      <c r="E14" s="804"/>
    </row>
    <row r="15" spans="2:15">
      <c r="B15" s="684" t="s">
        <v>96</v>
      </c>
      <c r="C15" s="804"/>
      <c r="D15" s="804"/>
      <c r="E15" s="804"/>
    </row>
    <row r="16" spans="2:15" ht="26.4">
      <c r="B16" s="684" t="s">
        <v>97</v>
      </c>
      <c r="C16" s="804"/>
      <c r="D16" s="804"/>
      <c r="E16" s="804"/>
    </row>
    <row r="17" spans="2:5">
      <c r="B17" s="684" t="s">
        <v>98</v>
      </c>
      <c r="C17" s="804"/>
      <c r="D17" s="804"/>
      <c r="E17" s="804"/>
    </row>
    <row r="18" spans="2:5">
      <c r="B18" s="684" t="s">
        <v>99</v>
      </c>
      <c r="C18" s="804"/>
      <c r="D18" s="804"/>
      <c r="E18" s="804"/>
    </row>
    <row r="19" spans="2:5">
      <c r="B19" s="684" t="s">
        <v>100</v>
      </c>
      <c r="C19" s="804"/>
      <c r="D19" s="804"/>
      <c r="E19" s="804"/>
    </row>
    <row r="20" spans="2:5">
      <c r="B20" s="684" t="s">
        <v>101</v>
      </c>
      <c r="C20" s="804"/>
      <c r="D20" s="804"/>
      <c r="E20" s="804"/>
    </row>
    <row r="21" spans="2:5">
      <c r="B21" s="684" t="s">
        <v>102</v>
      </c>
      <c r="C21" s="804"/>
      <c r="D21" s="804"/>
      <c r="E21" s="804"/>
    </row>
    <row r="22" spans="2:5" ht="15" customHeight="1">
      <c r="B22" s="684" t="s">
        <v>77</v>
      </c>
      <c r="C22" s="804"/>
      <c r="D22" s="804"/>
      <c r="E22" s="804"/>
    </row>
    <row r="23" spans="2:5">
      <c r="B23" s="681"/>
    </row>
    <row r="24" spans="2:5">
      <c r="B24" s="805" t="s">
        <v>79</v>
      </c>
      <c r="C24" s="805"/>
      <c r="D24" s="805"/>
      <c r="E24" s="805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817"/>
      <c r="C1" s="818"/>
      <c r="D1" s="818"/>
      <c r="E1" s="819" t="s">
        <v>103</v>
      </c>
      <c r="F1" s="819"/>
      <c r="G1" s="819"/>
      <c r="H1" s="819"/>
      <c r="I1" s="819"/>
      <c r="J1" s="82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8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8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N27" sqref="N27"/>
    </sheetView>
  </sheetViews>
  <sheetFormatPr defaultColWidth="8.44140625" defaultRowHeight="14.4"/>
  <cols>
    <col min="1" max="1" width="5" style="93" customWidth="1"/>
    <col min="2" max="2" width="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" style="129" bestFit="1" customWidth="1"/>
    <col min="8" max="8" width="19" style="129" bestFit="1" customWidth="1"/>
    <col min="9" max="9" width="2" style="129" customWidth="1"/>
    <col min="10" max="10" width="3" style="93" customWidth="1"/>
    <col min="11" max="11" width="2" style="175" customWidth="1"/>
    <col min="12" max="12" width="29.44140625" style="93" customWidth="1"/>
    <col min="13" max="13" width="2" style="129" customWidth="1"/>
    <col min="14" max="14" width="29.44140625" style="129" customWidth="1"/>
    <col min="15" max="15" width="2" style="129" customWidth="1"/>
    <col min="16" max="16" width="17" style="129" customWidth="1"/>
    <col min="17" max="17" width="2" style="129" customWidth="1"/>
    <col min="18" max="18" width="71" style="129" customWidth="1"/>
    <col min="19" max="19" width="36" style="129" customWidth="1"/>
    <col min="20" max="20" width="4.44140625" style="129" customWidth="1"/>
    <col min="21" max="21" width="21" style="93" bestFit="1" customWidth="1"/>
    <col min="22" max="22" width="17" style="93" bestFit="1" customWidth="1"/>
    <col min="23" max="23" width="20.44140625" style="93" bestFit="1" customWidth="1"/>
    <col min="24" max="24" width="16" style="93" bestFit="1" customWidth="1"/>
    <col min="25" max="25" width="8.44140625" style="93"/>
    <col min="26" max="26" width="14.44140625" style="93" bestFit="1" customWidth="1"/>
    <col min="27" max="27" width="8.44140625" style="129"/>
    <col min="28" max="28" width="12" style="129" bestFit="1" customWidth="1"/>
    <col min="29" max="39" width="8.44140625" style="129"/>
    <col min="40" max="40" width="9.44140625" style="129" bestFit="1" customWidth="1"/>
    <col min="41" max="16384" width="8.441406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2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2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3278295.0942017976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2217071.6518750004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2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2">
      <c r="B13" s="351">
        <v>1</v>
      </c>
      <c r="C13" s="823" t="s">
        <v>193</v>
      </c>
      <c r="D13" s="82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2">
      <c r="B14" s="154">
        <v>2</v>
      </c>
      <c r="C14" s="823" t="s">
        <v>195</v>
      </c>
      <c r="D14" s="82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2">
      <c r="B15" s="351">
        <v>3</v>
      </c>
      <c r="C15" s="823" t="s">
        <v>197</v>
      </c>
      <c r="D15" s="82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2">
      <c r="B16" s="351">
        <v>4</v>
      </c>
      <c r="C16" s="821" t="s">
        <v>198</v>
      </c>
      <c r="D16" s="82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2">
      <c r="B17" s="351">
        <v>5</v>
      </c>
      <c r="C17" s="821" t="s">
        <v>54</v>
      </c>
      <c r="D17" s="82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/>
      <c r="S17" s="730" t="b">
        <v>1</v>
      </c>
      <c r="T17" s="141"/>
    </row>
    <row r="18" spans="2:20" s="354" customFormat="1" ht="13.2">
      <c r="B18" s="154">
        <v>6</v>
      </c>
      <c r="C18" s="821" t="s">
        <v>202</v>
      </c>
      <c r="D18" s="822"/>
      <c r="E18" s="135">
        <v>0</v>
      </c>
      <c r="F18" s="136">
        <v>93594.2</v>
      </c>
      <c r="H18" s="138">
        <f>H16</f>
        <v>45986</v>
      </c>
      <c r="J18" s="733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3.2">
      <c r="B19" s="351">
        <v>7</v>
      </c>
      <c r="C19" s="823" t="s">
        <v>204</v>
      </c>
      <c r="D19" s="82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2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3.2">
      <c r="C24" s="147" t="s">
        <v>207</v>
      </c>
      <c r="D24" s="148"/>
      <c r="F24" s="149"/>
    </row>
    <row r="25" spans="2:20" s="93" customFormat="1" ht="13.2">
      <c r="C25" s="147" t="s">
        <v>208</v>
      </c>
      <c r="D25" s="148"/>
    </row>
    <row r="26" spans="2:20" s="93" customFormat="1" ht="13.2">
      <c r="C26" s="150" t="s">
        <v>209</v>
      </c>
      <c r="D26" s="151"/>
      <c r="L26" s="673"/>
    </row>
    <row r="27" spans="2:20" s="93" customFormat="1" ht="13.2">
      <c r="C27" s="152" t="s">
        <v>210</v>
      </c>
      <c r="D27" s="148"/>
      <c r="L27" s="673"/>
    </row>
    <row r="28" spans="2:20" s="93" customFormat="1" ht="13.2">
      <c r="B28" s="117"/>
      <c r="C28" s="152" t="s">
        <v>211</v>
      </c>
      <c r="D28" s="148"/>
    </row>
    <row r="29" spans="2:20" s="93" customFormat="1" ht="13.2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3.2">
      <c r="B31" s="117"/>
      <c r="F31" s="146"/>
      <c r="N31" s="673"/>
    </row>
    <row r="32" spans="2:20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25" t="s">
        <v>217</v>
      </c>
      <c r="C2" s="826"/>
      <c r="D2" s="826"/>
      <c r="E2" s="826"/>
      <c r="F2" s="827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25" t="s">
        <v>227</v>
      </c>
      <c r="C16" s="826"/>
      <c r="D16" s="826"/>
      <c r="E16" s="826"/>
      <c r="F16" s="827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1" zoomScale="85" zoomScaleNormal="85" workbookViewId="0">
      <selection activeCell="O28" sqref="O28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" style="112" customWidth="1"/>
    <col min="5" max="5" width="14.5546875" style="24" customWidth="1"/>
    <col min="6" max="6" width="12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7.44140625" style="112" bestFit="1" customWidth="1"/>
    <col min="13" max="14" width="17" style="112" customWidth="1"/>
    <col min="15" max="15" width="39.44140625" style="112" bestFit="1" customWidth="1"/>
    <col min="16" max="16" width="1.44140625" style="112" customWidth="1"/>
    <col min="17" max="17" width="5" style="3" customWidth="1"/>
    <col min="18" max="18" width="8.44140625" style="112"/>
    <col min="19" max="19" width="18" style="112" bestFit="1" customWidth="1"/>
    <col min="20" max="22" width="12" style="112" customWidth="1"/>
    <col min="23" max="23" width="8.44140625" style="112"/>
    <col min="24" max="25" width="11" style="112" bestFit="1" customWidth="1"/>
    <col min="26" max="16384" width="8.441406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46086</v>
      </c>
      <c r="O1" s="403">
        <f ca="1">TODAY()</f>
        <v>46086</v>
      </c>
      <c r="Q1" s="3"/>
    </row>
    <row r="2" spans="2:28" ht="15" customHeight="1" thickBot="1">
      <c r="B2" s="176"/>
      <c r="C2" s="177" t="s">
        <v>0</v>
      </c>
      <c r="D2" s="178"/>
      <c r="E2" s="835" t="s">
        <v>234</v>
      </c>
      <c r="F2" s="836"/>
      <c r="G2" s="836"/>
      <c r="H2" s="836"/>
      <c r="I2" s="828" t="s">
        <v>235</v>
      </c>
      <c r="J2" s="82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828" t="s">
        <v>237</v>
      </c>
      <c r="J3" s="829"/>
      <c r="K3" s="679">
        <f>K2/5</f>
        <v>14.2</v>
      </c>
      <c r="Q3" s="3"/>
    </row>
    <row r="4" spans="2:28" s="112" customFormat="1" ht="14.4" thickBot="1">
      <c r="B4" s="179"/>
      <c r="C4" s="180" t="s">
        <v>238</v>
      </c>
      <c r="D4" s="178"/>
      <c r="E4" s="837" t="s">
        <v>91</v>
      </c>
      <c r="F4" s="838"/>
      <c r="G4" s="838"/>
      <c r="H4" s="838"/>
      <c r="I4" s="828" t="s">
        <v>239</v>
      </c>
      <c r="J4" s="829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837" t="s">
        <v>91</v>
      </c>
      <c r="F5" s="838"/>
      <c r="G5" s="838"/>
      <c r="H5" s="839"/>
      <c r="J5" s="113"/>
      <c r="Q5" s="3"/>
    </row>
    <row r="6" spans="2:28" ht="22.5" customHeight="1" thickBot="1">
      <c r="B6" s="183"/>
      <c r="C6" s="184" t="s">
        <v>241</v>
      </c>
      <c r="D6" s="178"/>
      <c r="E6" s="840">
        <v>3283810.55</v>
      </c>
      <c r="F6" s="841"/>
      <c r="G6" s="841"/>
      <c r="H6" s="842"/>
    </row>
    <row r="7" spans="2:28" s="112" customFormat="1" ht="14.4" thickBot="1">
      <c r="B7" s="167"/>
      <c r="C7" s="727" t="s">
        <v>242</v>
      </c>
      <c r="D7" s="728"/>
      <c r="E7" s="738" t="s">
        <v>243</v>
      </c>
      <c r="F7" s="739"/>
      <c r="G7" s="185"/>
      <c r="J7" s="113"/>
      <c r="Q7" s="3"/>
    </row>
    <row r="8" spans="2:28" ht="30" customHeight="1">
      <c r="B8" s="832" t="s">
        <v>183</v>
      </c>
      <c r="C8" s="833" t="s">
        <v>244</v>
      </c>
      <c r="D8" s="214"/>
      <c r="E8" s="834" t="s">
        <v>245</v>
      </c>
      <c r="F8" s="236" t="s">
        <v>246</v>
      </c>
      <c r="G8" s="834" t="s">
        <v>247</v>
      </c>
      <c r="H8" s="237"/>
      <c r="I8" s="834" t="s">
        <v>248</v>
      </c>
      <c r="J8" s="236" t="s">
        <v>246</v>
      </c>
      <c r="K8" s="834" t="s">
        <v>249</v>
      </c>
      <c r="M8" s="703" t="s">
        <v>109</v>
      </c>
      <c r="N8" s="703" t="s">
        <v>109</v>
      </c>
      <c r="O8" s="830" t="s">
        <v>250</v>
      </c>
      <c r="Z8" s="112"/>
      <c r="AA8" s="112"/>
      <c r="AB8" s="112"/>
    </row>
    <row r="9" spans="2:28">
      <c r="B9" s="832"/>
      <c r="C9" s="833"/>
      <c r="D9" s="214"/>
      <c r="E9" s="834"/>
      <c r="F9" s="126">
        <f>G41-E19</f>
        <v>35</v>
      </c>
      <c r="G9" s="834"/>
      <c r="H9" s="237"/>
      <c r="I9" s="834"/>
      <c r="J9" s="127">
        <f>K41-I19</f>
        <v>101</v>
      </c>
      <c r="K9" s="834"/>
      <c r="M9" s="361">
        <f>AVERAGE(M11,M18,M21,M28,M35,M39,M46,M43)</f>
        <v>1</v>
      </c>
      <c r="N9" s="361">
        <f ca="1">AVERAGE(N11,N18,N21,N28,N35,N39,N46,N43)</f>
        <v>1</v>
      </c>
      <c r="O9" s="83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251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252</v>
      </c>
      <c r="C12" s="248" t="s">
        <v>253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254</v>
      </c>
      <c r="T12" s="666" t="s">
        <v>175</v>
      </c>
      <c r="U12" s="666" t="s">
        <v>255</v>
      </c>
      <c r="V12" s="666" t="s">
        <v>256</v>
      </c>
      <c r="X12" s="669">
        <f ca="1">TODAY()</f>
        <v>46086</v>
      </c>
      <c r="Y12" s="669">
        <f ca="1">TODAY()</f>
        <v>46086</v>
      </c>
    </row>
    <row r="13" spans="2:28" s="112" customFormat="1">
      <c r="B13" s="247" t="s">
        <v>257</v>
      </c>
      <c r="C13" s="248" t="s">
        <v>258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259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260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261</v>
      </c>
      <c r="C15" s="248" t="s">
        <v>262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263</v>
      </c>
      <c r="C16" s="248" t="s">
        <v>264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265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266</v>
      </c>
      <c r="C19" s="248" t="s">
        <v>267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>
      <c r="B21" s="243">
        <v>3</v>
      </c>
      <c r="C21" s="244" t="s">
        <v>268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269</v>
      </c>
      <c r="C22" s="248" t="s">
        <v>270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271</v>
      </c>
      <c r="C23" s="248" t="s">
        <v>272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273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274</v>
      </c>
      <c r="C24" s="248" t="s">
        <v>275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276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277</v>
      </c>
      <c r="C26" s="248" t="s">
        <v>278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(J30*M30+J31*M32+J32*M32+J33*M33)/SUM(J30:J33)</f>
        <v>1</v>
      </c>
      <c r="N28" s="360">
        <f ca="1">(J30*N30+J31*N31+J32*N32+J33*N33)/SUM(J30:J33)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279</v>
      </c>
      <c r="C30" s="248" t="s">
        <v>280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281</v>
      </c>
      <c r="C31" s="248" t="s">
        <v>282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283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284</v>
      </c>
      <c r="C32" s="248" t="s">
        <v>285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7" t="s">
        <v>286</v>
      </c>
      <c r="C33" s="242" t="s">
        <v>287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288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289</v>
      </c>
      <c r="C36" s="248" t="s">
        <v>290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291</v>
      </c>
      <c r="C37" s="248" t="s">
        <v>292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293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294</v>
      </c>
      <c r="C40" s="242" t="s">
        <v>293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295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296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297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298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299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300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301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302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303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>
      <c r="B52" s="247">
        <v>8.6</v>
      </c>
      <c r="C52" s="242" t="s">
        <v>304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843"/>
      <c r="C4" s="843"/>
      <c r="D4" s="843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" thickBot="1">
      <c r="A5" s="214"/>
      <c r="B5" s="844" t="s">
        <v>307</v>
      </c>
      <c r="C5" s="844"/>
      <c r="D5" s="84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K1" zoomScale="70" zoomScaleNormal="70" workbookViewId="0">
      <pane ySplit="4" topLeftCell="A92" activePane="bottomLeft" state="frozen"/>
      <selection activeCell="X33" sqref="X33"/>
      <selection pane="bottomLeft" activeCell="W99" sqref="W9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1" hidden="1" customWidth="1"/>
    <col min="7" max="7" width="17.44140625" style="24" hidden="1" customWidth="1"/>
    <col min="8" max="8" width="17.44140625" style="112" hidden="1" customWidth="1"/>
    <col min="9" max="9" width="22.44140625" style="349" hidden="1" customWidth="1"/>
    <col min="10" max="10" width="22.44140625" style="349" customWidth="1"/>
    <col min="11" max="12" width="5" style="112" customWidth="1"/>
    <col min="13" max="13" width="25.5546875" style="112" customWidth="1"/>
    <col min="14" max="14" width="52.5546875" style="112" customWidth="1"/>
    <col min="15" max="15" width="15.5546875" style="112" customWidth="1"/>
    <col min="16" max="16" width="13.44140625" style="112" bestFit="1" customWidth="1"/>
    <col min="17" max="17" width="17.44140625" style="112" customWidth="1"/>
    <col min="18" max="18" width="38.5546875" style="112" bestFit="1" customWidth="1"/>
    <col min="19" max="19" width="43.5546875" style="112" bestFit="1" customWidth="1"/>
    <col min="20" max="21" width="17.44140625" style="553" customWidth="1"/>
    <col min="22" max="22" width="17.44140625" style="112" customWidth="1"/>
    <col min="23" max="23" width="17.44140625" style="553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46" t="s">
        <v>313</v>
      </c>
      <c r="C2" s="747"/>
      <c r="D2" s="747"/>
      <c r="E2" s="747"/>
      <c r="F2" s="747"/>
      <c r="G2" s="747"/>
      <c r="H2" s="500"/>
      <c r="I2" s="257">
        <f>SUM(I6:I163)</f>
        <v>2763016.5280978265</v>
      </c>
      <c r="J2" s="257">
        <f>SUM(J6:J163)</f>
        <v>3283810.5522112595</v>
      </c>
      <c r="L2" s="748" t="s">
        <v>314</v>
      </c>
      <c r="M2" s="749"/>
      <c r="N2" s="749"/>
      <c r="O2" s="749"/>
      <c r="P2" s="749"/>
      <c r="Q2" s="749"/>
      <c r="R2" s="750" t="s">
        <v>315</v>
      </c>
      <c r="S2" s="751"/>
      <c r="T2" s="751"/>
      <c r="U2" s="751"/>
      <c r="V2" s="751"/>
      <c r="W2" s="752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40">
        <f>SUM(G6:G11)</f>
        <v>838063.00000000012</v>
      </c>
      <c r="J6" s="740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62">
        <f>J6-SUM(U6:U11)</f>
        <v>0</v>
      </c>
      <c r="W6" s="722">
        <v>46009</v>
      </c>
      <c r="X6" s="753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41"/>
      <c r="J7" s="741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63"/>
      <c r="W7" s="690">
        <f>W6</f>
        <v>46009</v>
      </c>
      <c r="X7" s="754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41"/>
      <c r="J8" s="741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63"/>
      <c r="W8" s="690">
        <f>W6</f>
        <v>46009</v>
      </c>
      <c r="X8" s="754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41"/>
      <c r="J9" s="741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63"/>
      <c r="W9" s="726">
        <v>46022</v>
      </c>
      <c r="X9" s="754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41"/>
      <c r="J10" s="741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63"/>
      <c r="W10" s="576"/>
      <c r="X10" s="754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42"/>
      <c r="J11" s="742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64"/>
      <c r="W11" s="577"/>
      <c r="X11" s="755"/>
      <c r="Y11" s="608" t="s">
        <v>340</v>
      </c>
      <c r="Z11" s="609" t="s">
        <v>341</v>
      </c>
    </row>
    <row r="12" spans="1:76" ht="14.4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756">
        <f>SUM(G13:G19)</f>
        <v>210000</v>
      </c>
      <c r="J13" s="756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765">
        <f>J13-SUM(U13:U19)</f>
        <v>0</v>
      </c>
      <c r="W13" s="723">
        <f>W6</f>
        <v>46009</v>
      </c>
      <c r="X13" s="759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757"/>
      <c r="J14" s="757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766"/>
      <c r="W14" s="654"/>
      <c r="X14" s="760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757"/>
      <c r="J15" s="757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766"/>
      <c r="W15" s="580"/>
      <c r="X15" s="760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757"/>
      <c r="J16" s="757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766"/>
      <c r="W16" s="580"/>
      <c r="X16" s="760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757"/>
      <c r="J17" s="757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766"/>
      <c r="W17" s="580"/>
      <c r="X17" s="760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757"/>
      <c r="J18" s="757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766"/>
      <c r="W18" s="580"/>
      <c r="X18" s="760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758"/>
      <c r="J19" s="758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767"/>
      <c r="W19" s="581"/>
      <c r="X19" s="761"/>
      <c r="Y19" s="610" t="s">
        <v>352</v>
      </c>
      <c r="Z19" s="611">
        <v>0</v>
      </c>
      <c r="AA19" s="655"/>
    </row>
    <row r="20" spans="1:27" ht="14.4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40">
        <f>SUM(G21:G26)</f>
        <v>146400</v>
      </c>
      <c r="J21" s="740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62">
        <f>J21-SUM(U21:U26)</f>
        <v>0</v>
      </c>
      <c r="W21" s="704">
        <f>T21+30</f>
        <v>45960</v>
      </c>
      <c r="X21" s="753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41"/>
      <c r="J22" s="741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63"/>
      <c r="W22" s="575"/>
      <c r="X22" s="754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41"/>
      <c r="J23" s="741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63"/>
      <c r="W23" s="575"/>
      <c r="X23" s="754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41"/>
      <c r="J24" s="741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63"/>
      <c r="W24" s="576"/>
      <c r="X24" s="754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41"/>
      <c r="J25" s="741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63"/>
      <c r="W25" s="576"/>
      <c r="X25" s="754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42"/>
      <c r="J26" s="742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64"/>
      <c r="W26" s="577"/>
      <c r="X26" s="755"/>
      <c r="Y26" s="616" t="s">
        <v>167</v>
      </c>
      <c r="Z26" s="617" t="s">
        <v>362</v>
      </c>
    </row>
    <row r="27" spans="1:27" ht="14.4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756">
        <f>SUM(G28:G42)</f>
        <v>286300</v>
      </c>
      <c r="J28" s="756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765">
        <f>J28-SUM(U28:U42)</f>
        <v>0</v>
      </c>
      <c r="W28" s="537">
        <v>46003</v>
      </c>
      <c r="X28" s="759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757"/>
      <c r="J29" s="757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766"/>
      <c r="W29" s="580"/>
      <c r="X29" s="760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757"/>
      <c r="J30" s="757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766"/>
      <c r="W30" s="580"/>
      <c r="X30" s="760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757"/>
      <c r="J31" s="757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766"/>
      <c r="W31" s="580"/>
      <c r="X31" s="760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757"/>
      <c r="J32" s="757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743" t="s">
        <v>370</v>
      </c>
      <c r="S32" s="633" t="s">
        <v>371</v>
      </c>
      <c r="T32" s="674">
        <f>T92</f>
        <v>45961</v>
      </c>
      <c r="U32" s="694">
        <v>30132.370821974633</v>
      </c>
      <c r="V32" s="766"/>
      <c r="W32" s="538">
        <f>W92</f>
        <v>45939</v>
      </c>
      <c r="X32" s="760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757"/>
      <c r="J33" s="757"/>
      <c r="K33" s="300"/>
      <c r="L33" s="297">
        <v>4</v>
      </c>
      <c r="M33" s="424" t="s">
        <v>364</v>
      </c>
      <c r="N33" s="407" t="s">
        <v>265</v>
      </c>
      <c r="O33" s="560"/>
      <c r="P33" s="570">
        <v>0.15</v>
      </c>
      <c r="Q33" s="299">
        <f t="shared" ref="Q33:Q39" si="2">$O$32*P33</f>
        <v>22193.234999999997</v>
      </c>
      <c r="R33" s="744"/>
      <c r="S33" s="633" t="s">
        <v>372</v>
      </c>
      <c r="T33" s="674">
        <f t="shared" ref="T33:T36" si="3">T93</f>
        <v>45961</v>
      </c>
      <c r="U33" s="694">
        <v>30132.370821974633</v>
      </c>
      <c r="V33" s="766"/>
      <c r="W33" s="538">
        <f t="shared" ref="W33:W39" si="4">W93</f>
        <v>45939</v>
      </c>
      <c r="X33" s="760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757"/>
      <c r="J34" s="757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744"/>
      <c r="S34" s="633" t="s">
        <v>375</v>
      </c>
      <c r="T34" s="674">
        <f t="shared" si="3"/>
        <v>45991</v>
      </c>
      <c r="U34" s="694">
        <v>40176.494429299513</v>
      </c>
      <c r="V34" s="766"/>
      <c r="W34" s="654">
        <f t="shared" si="4"/>
        <v>45999</v>
      </c>
      <c r="X34" s="760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757"/>
      <c r="J35" s="757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744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766"/>
      <c r="W35" s="654">
        <f t="shared" si="4"/>
        <v>46015</v>
      </c>
      <c r="X35" s="760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757"/>
      <c r="J36" s="757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744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766"/>
      <c r="W36" s="654">
        <f>W96</f>
        <v>46015</v>
      </c>
      <c r="X36" s="760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757"/>
      <c r="J37" s="757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744"/>
      <c r="S37" s="633" t="s">
        <v>381</v>
      </c>
      <c r="T37" s="691">
        <v>46022</v>
      </c>
      <c r="U37" s="694">
        <v>20088.247214649757</v>
      </c>
      <c r="V37" s="766"/>
      <c r="W37" s="538">
        <f t="shared" si="4"/>
        <v>46052</v>
      </c>
      <c r="X37" s="760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757"/>
      <c r="J38" s="757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744"/>
      <c r="S38" s="633" t="s">
        <v>383</v>
      </c>
      <c r="T38" s="691">
        <v>46022</v>
      </c>
      <c r="U38" s="694">
        <v>10044.123607324878</v>
      </c>
      <c r="V38" s="766"/>
      <c r="W38" s="538">
        <f t="shared" si="4"/>
        <v>46058</v>
      </c>
      <c r="X38" s="760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757"/>
      <c r="J39" s="757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745"/>
      <c r="S39" s="721" t="s">
        <v>385</v>
      </c>
      <c r="T39" s="691">
        <v>46022</v>
      </c>
      <c r="U39" s="694">
        <v>10044.123607324878</v>
      </c>
      <c r="V39" s="766"/>
      <c r="W39" s="580">
        <f t="shared" si="4"/>
        <v>46109</v>
      </c>
      <c r="X39" s="760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757"/>
      <c r="J40" s="757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766"/>
      <c r="W40" s="580"/>
      <c r="X40" s="760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757"/>
      <c r="J41" s="757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766"/>
      <c r="W41" s="580"/>
      <c r="X41" s="760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758"/>
      <c r="J42" s="758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767"/>
      <c r="W42" s="581"/>
      <c r="X42" s="761"/>
      <c r="Y42" s="479"/>
    </row>
    <row r="43" spans="1:26" ht="14.4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40">
        <f>SUM(G44:G51)</f>
        <v>49000</v>
      </c>
      <c r="J44" s="740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62">
        <f>J44-SUM(U44:U51)</f>
        <v>1.9763820091611706E-3</v>
      </c>
      <c r="W44" s="704">
        <f>H44</f>
        <v>46004</v>
      </c>
      <c r="X44" s="753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41"/>
      <c r="J45" s="741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63"/>
      <c r="W45" s="533">
        <f>T45+30</f>
        <v>45960</v>
      </c>
      <c r="X45" s="754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41"/>
      <c r="J46" s="741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63"/>
      <c r="W46" s="533">
        <v>45974</v>
      </c>
      <c r="X46" s="754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41"/>
      <c r="J47" s="741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63"/>
      <c r="W47" s="690">
        <v>45991</v>
      </c>
      <c r="X47" s="754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41"/>
      <c r="J48" s="741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63"/>
      <c r="W48" s="690">
        <v>45939</v>
      </c>
      <c r="X48" s="754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41"/>
      <c r="J49" s="741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63"/>
      <c r="W49" s="726">
        <v>46022</v>
      </c>
      <c r="X49" s="754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41"/>
      <c r="J50" s="741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63"/>
      <c r="W50" s="576"/>
      <c r="X50" s="754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42"/>
      <c r="J51" s="742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64"/>
      <c r="W51" s="577"/>
      <c r="X51" s="755"/>
      <c r="Y51" s="479"/>
    </row>
    <row r="52" spans="1:25" ht="14.4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756">
        <f>SUM(G53:G69)</f>
        <v>497053.59565217391</v>
      </c>
      <c r="J53" s="756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765">
        <f>J53-SUM(U53:U69)</f>
        <v>0</v>
      </c>
      <c r="W53" s="579"/>
      <c r="X53" s="759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757"/>
      <c r="J54" s="757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766"/>
      <c r="W54" s="712">
        <f>T54+30</f>
        <v>46021</v>
      </c>
      <c r="X54" s="760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757"/>
      <c r="J55" s="757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766"/>
      <c r="W55" s="580"/>
      <c r="X55" s="760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757"/>
      <c r="J56" s="757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766"/>
      <c r="W56" s="580"/>
      <c r="X56" s="760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757"/>
      <c r="J57" s="757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766"/>
      <c r="W57" s="580"/>
      <c r="X57" s="760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757"/>
      <c r="J58" s="757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766"/>
      <c r="W58" s="580"/>
      <c r="X58" s="760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757"/>
      <c r="J59" s="757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743" t="s">
        <v>370</v>
      </c>
      <c r="S59" s="633" t="s">
        <v>371</v>
      </c>
      <c r="T59" s="697">
        <f>T92</f>
        <v>45961</v>
      </c>
      <c r="U59" s="694">
        <v>42903.640276760721</v>
      </c>
      <c r="V59" s="766"/>
      <c r="W59" s="538">
        <f>W92</f>
        <v>45939</v>
      </c>
      <c r="X59" s="760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757"/>
      <c r="J60" s="757"/>
      <c r="K60" s="300"/>
      <c r="L60" s="297">
        <v>6</v>
      </c>
      <c r="M60" s="428" t="s">
        <v>401</v>
      </c>
      <c r="N60" s="407" t="s">
        <v>265</v>
      </c>
      <c r="O60" s="560"/>
      <c r="P60" s="570">
        <v>0.15</v>
      </c>
      <c r="Q60" s="299">
        <f t="shared" ref="Q60:Q66" si="7">$O$59*P60</f>
        <v>17533.549500000001</v>
      </c>
      <c r="R60" s="744"/>
      <c r="S60" s="633" t="s">
        <v>372</v>
      </c>
      <c r="T60" s="697">
        <f t="shared" ref="T60:T63" si="8">T93</f>
        <v>45961</v>
      </c>
      <c r="U60" s="694">
        <v>42903.640276760721</v>
      </c>
      <c r="V60" s="766"/>
      <c r="W60" s="538">
        <f t="shared" ref="W60:W66" si="9">W93</f>
        <v>45939</v>
      </c>
      <c r="X60" s="760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757"/>
      <c r="J61" s="757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744"/>
      <c r="S61" s="633" t="s">
        <v>375</v>
      </c>
      <c r="T61" s="697">
        <f t="shared" si="8"/>
        <v>45991</v>
      </c>
      <c r="U61" s="694">
        <v>57204.853702347631</v>
      </c>
      <c r="V61" s="766"/>
      <c r="W61" s="654">
        <f t="shared" si="9"/>
        <v>45999</v>
      </c>
      <c r="X61" s="760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757"/>
      <c r="J62" s="757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744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766"/>
      <c r="W62" s="654">
        <f t="shared" si="9"/>
        <v>46015</v>
      </c>
      <c r="X62" s="760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757"/>
      <c r="J63" s="757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744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766"/>
      <c r="W63" s="654">
        <f t="shared" si="9"/>
        <v>46015</v>
      </c>
      <c r="X63" s="760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757"/>
      <c r="J64" s="757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744"/>
      <c r="S64" s="633" t="s">
        <v>381</v>
      </c>
      <c r="T64" s="717">
        <v>46022</v>
      </c>
      <c r="U64" s="709">
        <v>28602.426851173816</v>
      </c>
      <c r="V64" s="766"/>
      <c r="W64" s="538">
        <f t="shared" si="9"/>
        <v>46052</v>
      </c>
      <c r="X64" s="760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757"/>
      <c r="J65" s="757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744"/>
      <c r="S65" s="716" t="s">
        <v>383</v>
      </c>
      <c r="T65" s="717">
        <v>46022</v>
      </c>
      <c r="U65" s="709">
        <v>14301.213425586908</v>
      </c>
      <c r="V65" s="766"/>
      <c r="W65" s="538">
        <f t="shared" si="9"/>
        <v>46058</v>
      </c>
      <c r="X65" s="760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757"/>
      <c r="J66" s="757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745"/>
      <c r="S66" s="716" t="s">
        <v>385</v>
      </c>
      <c r="T66" s="717">
        <v>46022</v>
      </c>
      <c r="U66" s="709">
        <v>14301.213425586908</v>
      </c>
      <c r="V66" s="766"/>
      <c r="W66" s="580">
        <f t="shared" si="9"/>
        <v>46109</v>
      </c>
      <c r="X66" s="760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757"/>
      <c r="J67" s="757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766"/>
      <c r="W67" s="583"/>
      <c r="X67" s="760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757"/>
      <c r="J68" s="757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766"/>
      <c r="W68" s="583"/>
      <c r="X68" s="760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758"/>
      <c r="J69" s="758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767"/>
      <c r="W69" s="581"/>
      <c r="X69" s="761"/>
      <c r="Y69" s="479"/>
    </row>
    <row r="70" spans="1:25" ht="14.4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40">
        <f>SUM(G71:G78)</f>
        <v>0</v>
      </c>
      <c r="J71" s="740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768">
        <f>J71-SUM(U71:U78)</f>
        <v>0</v>
      </c>
      <c r="W71" s="585"/>
      <c r="X71" s="753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41"/>
      <c r="J72" s="741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769"/>
      <c r="W72" s="576"/>
      <c r="X72" s="754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41"/>
      <c r="J73" s="741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769"/>
      <c r="W73" s="576"/>
      <c r="X73" s="754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41"/>
      <c r="J74" s="741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769"/>
      <c r="W74" s="576"/>
      <c r="X74" s="754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41"/>
      <c r="J75" s="741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769"/>
      <c r="W75" s="576"/>
      <c r="X75" s="754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41"/>
      <c r="J76" s="741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769"/>
      <c r="W76" s="576"/>
      <c r="X76" s="754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41"/>
      <c r="J77" s="741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769"/>
      <c r="W77" s="576"/>
      <c r="X77" s="754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42"/>
      <c r="J78" s="742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770"/>
      <c r="W78" s="577"/>
      <c r="X78" s="755"/>
      <c r="Y78" s="479"/>
    </row>
    <row r="79" spans="1:25" ht="14.4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756">
        <f>SUM(G80:G89)</f>
        <v>208000</v>
      </c>
      <c r="J80" s="756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786">
        <f>J80-SUM(U80:U89)</f>
        <v>0</v>
      </c>
      <c r="W80" s="579"/>
      <c r="X80" s="759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757"/>
      <c r="J81" s="757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787"/>
      <c r="W81" s="580"/>
      <c r="X81" s="760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757"/>
      <c r="J82" s="757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787"/>
      <c r="W82" s="654">
        <v>45960</v>
      </c>
      <c r="X82" s="760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757"/>
      <c r="J83" s="757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787"/>
      <c r="W83" s="580"/>
      <c r="X83" s="760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757"/>
      <c r="J84" s="757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743" t="s">
        <v>414</v>
      </c>
      <c r="S84" s="633" t="s">
        <v>415</v>
      </c>
      <c r="T84" s="674">
        <v>45961</v>
      </c>
      <c r="U84" s="694">
        <v>75668.143320264106</v>
      </c>
      <c r="V84" s="787"/>
      <c r="W84" s="538">
        <v>45939</v>
      </c>
      <c r="X84" s="760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757"/>
      <c r="J85" s="757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745"/>
      <c r="S85" s="633" t="s">
        <v>415</v>
      </c>
      <c r="T85" s="674">
        <v>45961</v>
      </c>
      <c r="U85" s="694">
        <v>75668.143320264106</v>
      </c>
      <c r="V85" s="787"/>
      <c r="W85" s="538">
        <v>45974</v>
      </c>
      <c r="X85" s="760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757"/>
      <c r="J86" s="757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787"/>
      <c r="W86" s="712">
        <v>45980</v>
      </c>
      <c r="X86" s="760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757"/>
      <c r="J87" s="757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787"/>
      <c r="W87" s="538">
        <v>45974</v>
      </c>
      <c r="X87" s="760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757"/>
      <c r="J88" s="757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787"/>
      <c r="W88" s="542">
        <v>46043</v>
      </c>
      <c r="X88" s="760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758"/>
      <c r="J89" s="758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788"/>
      <c r="W89" s="725">
        <v>46031</v>
      </c>
      <c r="X89" s="761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777">
        <f>SUM(G91:G102)</f>
        <v>291000</v>
      </c>
      <c r="J91" s="740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62">
        <f>J91-SUM(U91:U102)</f>
        <v>0</v>
      </c>
      <c r="W91" s="582"/>
      <c r="X91" s="780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778"/>
      <c r="J92" s="741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792" t="s">
        <v>370</v>
      </c>
      <c r="S92" s="628" t="s">
        <v>371</v>
      </c>
      <c r="T92" s="699">
        <v>45961</v>
      </c>
      <c r="U92" s="692">
        <v>48499.999999999993</v>
      </c>
      <c r="V92" s="763"/>
      <c r="W92" s="533">
        <v>45939</v>
      </c>
      <c r="X92" s="781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778"/>
      <c r="J93" s="741"/>
      <c r="K93" s="287"/>
      <c r="L93" s="382">
        <v>9</v>
      </c>
      <c r="M93" s="499" t="s">
        <v>429</v>
      </c>
      <c r="N93" s="384" t="s">
        <v>265</v>
      </c>
      <c r="O93" s="556"/>
      <c r="P93" s="571">
        <v>0.15</v>
      </c>
      <c r="Q93" s="314">
        <f t="shared" ref="Q93:Q99" si="12">$O$92*P93</f>
        <v>48187.5</v>
      </c>
      <c r="R93" s="793"/>
      <c r="S93" s="629" t="s">
        <v>372</v>
      </c>
      <c r="T93" s="699">
        <f t="shared" si="10"/>
        <v>45961</v>
      </c>
      <c r="U93" s="692">
        <v>48499.999999999993</v>
      </c>
      <c r="V93" s="763"/>
      <c r="W93" s="534">
        <v>45939</v>
      </c>
      <c r="X93" s="781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778"/>
      <c r="J94" s="741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793"/>
      <c r="S94" s="629" t="s">
        <v>375</v>
      </c>
      <c r="T94" s="699">
        <v>45991</v>
      </c>
      <c r="U94" s="692">
        <v>64666.666666666664</v>
      </c>
      <c r="V94" s="763"/>
      <c r="W94" s="714">
        <f>'Project Plan'!K21+7</f>
        <v>45999</v>
      </c>
      <c r="X94" s="781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778"/>
      <c r="J95" s="741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793"/>
      <c r="S95" s="629" t="s">
        <v>431</v>
      </c>
      <c r="T95" s="699">
        <v>46022</v>
      </c>
      <c r="U95" s="692">
        <v>64666.666666666664</v>
      </c>
      <c r="V95" s="763"/>
      <c r="W95" s="714">
        <v>46015</v>
      </c>
      <c r="X95" s="781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778"/>
      <c r="J96" s="741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793"/>
      <c r="S96" s="629" t="s">
        <v>432</v>
      </c>
      <c r="T96" s="699">
        <v>46022</v>
      </c>
      <c r="U96" s="692">
        <v>32333.333333333332</v>
      </c>
      <c r="V96" s="763"/>
      <c r="W96" s="714">
        <v>46015</v>
      </c>
      <c r="X96" s="781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778"/>
      <c r="J97" s="741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793"/>
      <c r="S97" s="718" t="s">
        <v>381</v>
      </c>
      <c r="T97" s="719">
        <v>46022</v>
      </c>
      <c r="U97" s="692">
        <v>32333.333333333332</v>
      </c>
      <c r="V97" s="763"/>
      <c r="W97" s="534">
        <f>'Project Plan'!K41+7</f>
        <v>46052</v>
      </c>
      <c r="X97" s="781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778"/>
      <c r="J98" s="741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793"/>
      <c r="S98" s="718" t="s">
        <v>383</v>
      </c>
      <c r="T98" s="719">
        <v>46022</v>
      </c>
      <c r="U98" s="692">
        <v>16166.666666666666</v>
      </c>
      <c r="V98" s="763"/>
      <c r="W98" s="534">
        <f>'Project Plan'!K48+9</f>
        <v>46058</v>
      </c>
      <c r="X98" s="781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778"/>
      <c r="J99" s="741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794"/>
      <c r="S99" s="718" t="s">
        <v>385</v>
      </c>
      <c r="T99" s="719">
        <v>46022</v>
      </c>
      <c r="U99" s="692">
        <v>16166.666666666666</v>
      </c>
      <c r="V99" s="763"/>
      <c r="W99" s="576">
        <f>'Project Plan'!K48+60</f>
        <v>46109</v>
      </c>
      <c r="X99" s="781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778"/>
      <c r="J100" s="741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63"/>
      <c r="W100" s="576"/>
      <c r="X100" s="781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778"/>
      <c r="J101" s="741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63"/>
      <c r="W101" s="576"/>
      <c r="X101" s="781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779"/>
      <c r="J102" s="742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64"/>
      <c r="W102" s="577"/>
      <c r="X102" s="782"/>
      <c r="Y102" s="479"/>
    </row>
    <row r="103" spans="1:25" ht="14.4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71">
        <f>SUM(G104:G118)</f>
        <v>76945.466666666674</v>
      </c>
      <c r="J104" s="771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783">
        <f>J104-SUM(U104:U118)</f>
        <v>0</v>
      </c>
      <c r="W104" s="586"/>
      <c r="X104" s="774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72"/>
      <c r="J105" s="772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784"/>
      <c r="W105" s="587"/>
      <c r="X105" s="775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72"/>
      <c r="J106" s="772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784"/>
      <c r="W106" s="587"/>
      <c r="X106" s="775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72"/>
      <c r="J107" s="772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784"/>
      <c r="W107" s="587"/>
      <c r="X107" s="775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72"/>
      <c r="J108" s="772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789" t="s">
        <v>370</v>
      </c>
      <c r="S108" s="642" t="s">
        <v>371</v>
      </c>
      <c r="T108" s="698">
        <v>45961</v>
      </c>
      <c r="U108" s="711">
        <v>12824.244444444445</v>
      </c>
      <c r="V108" s="784"/>
      <c r="W108" s="548">
        <f>W92</f>
        <v>45939</v>
      </c>
      <c r="X108" s="775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72"/>
      <c r="J109" s="772"/>
      <c r="K109" s="271"/>
      <c r="L109" s="339">
        <v>10</v>
      </c>
      <c r="M109" s="433" t="s">
        <v>434</v>
      </c>
      <c r="N109" s="340" t="s">
        <v>265</v>
      </c>
      <c r="O109" s="567"/>
      <c r="P109" s="574">
        <v>0.15</v>
      </c>
      <c r="Q109" s="342">
        <f t="shared" ref="Q109:Q115" si="14">$O$108*P109</f>
        <v>13859.353499999999</v>
      </c>
      <c r="R109" s="790"/>
      <c r="S109" s="647" t="s">
        <v>372</v>
      </c>
      <c r="T109" s="698">
        <f t="shared" ref="T109:T112" si="15">T93</f>
        <v>45961</v>
      </c>
      <c r="U109" s="711">
        <v>12824.244444444445</v>
      </c>
      <c r="V109" s="784"/>
      <c r="W109" s="548">
        <f t="shared" ref="W109:W115" si="16">W93</f>
        <v>45939</v>
      </c>
      <c r="X109" s="775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72"/>
      <c r="J110" s="772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790"/>
      <c r="S110" s="642" t="s">
        <v>375</v>
      </c>
      <c r="T110" s="698">
        <f t="shared" si="15"/>
        <v>45991</v>
      </c>
      <c r="U110" s="711">
        <v>17098.992592592593</v>
      </c>
      <c r="V110" s="784"/>
      <c r="W110" s="715">
        <f t="shared" si="16"/>
        <v>45999</v>
      </c>
      <c r="X110" s="775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72"/>
      <c r="J111" s="772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790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784"/>
      <c r="W111" s="715">
        <f t="shared" si="16"/>
        <v>46015</v>
      </c>
      <c r="X111" s="775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72"/>
      <c r="J112" s="772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790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784"/>
      <c r="W112" s="715">
        <f t="shared" si="16"/>
        <v>46015</v>
      </c>
      <c r="X112" s="775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72"/>
      <c r="J113" s="772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790"/>
      <c r="S113" s="720" t="s">
        <v>381</v>
      </c>
      <c r="T113" s="706">
        <v>46022</v>
      </c>
      <c r="U113" s="711">
        <v>8549.4962962962964</v>
      </c>
      <c r="V113" s="784"/>
      <c r="W113" s="548">
        <f t="shared" si="16"/>
        <v>46052</v>
      </c>
      <c r="X113" s="775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72"/>
      <c r="J114" s="772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790"/>
      <c r="S114" s="720" t="s">
        <v>383</v>
      </c>
      <c r="T114" s="706">
        <v>46022</v>
      </c>
      <c r="U114" s="711">
        <v>4274.7481481481482</v>
      </c>
      <c r="V114" s="784"/>
      <c r="W114" s="548">
        <f t="shared" si="16"/>
        <v>46058</v>
      </c>
      <c r="X114" s="775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72"/>
      <c r="J115" s="772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791"/>
      <c r="S115" s="720" t="s">
        <v>385</v>
      </c>
      <c r="T115" s="706">
        <v>46022</v>
      </c>
      <c r="U115" s="711">
        <v>4274.7481481481482</v>
      </c>
      <c r="V115" s="784"/>
      <c r="W115" s="588">
        <f t="shared" si="16"/>
        <v>46109</v>
      </c>
      <c r="X115" s="775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72"/>
      <c r="J116" s="772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784"/>
      <c r="W116" s="588"/>
      <c r="X116" s="775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72"/>
      <c r="J117" s="772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784"/>
      <c r="W117" s="588"/>
      <c r="X117" s="775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73"/>
      <c r="J118" s="773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785"/>
      <c r="W118" s="589"/>
      <c r="X118" s="776"/>
      <c r="Y118" s="479"/>
    </row>
    <row r="119" spans="1:25" ht="14.4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40">
        <f>SUM(G120:G124)</f>
        <v>109300</v>
      </c>
      <c r="J120" s="740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62">
        <f>J120-SUM(U120:U124)</f>
        <v>0</v>
      </c>
      <c r="W120" s="540">
        <v>46066</v>
      </c>
      <c r="X120" s="753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41"/>
      <c r="J121" s="741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63"/>
      <c r="W121" s="690">
        <f>T121</f>
        <v>45991</v>
      </c>
      <c r="X121" s="754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41"/>
      <c r="J122" s="741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63"/>
      <c r="W122" s="575"/>
      <c r="X122" s="754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41"/>
      <c r="J123" s="741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 t="s">
        <v>445</v>
      </c>
      <c r="T123" s="671">
        <v>46081</v>
      </c>
      <c r="U123" s="502">
        <f>(Q123/$X$120*$J$120)</f>
        <v>49401.129943502827</v>
      </c>
      <c r="V123" s="763"/>
      <c r="W123" s="576">
        <f>T123+30</f>
        <v>46111</v>
      </c>
      <c r="X123" s="754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42"/>
      <c r="J124" s="742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64"/>
      <c r="W124" s="577"/>
      <c r="X124" s="755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71">
        <f>SUM(G126:G127)</f>
        <v>13353.69</v>
      </c>
      <c r="J126" s="771">
        <v>0</v>
      </c>
      <c r="K126" s="795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774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73"/>
      <c r="J127" s="773"/>
      <c r="K127" s="796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776"/>
      <c r="Y127" s="479"/>
    </row>
    <row r="128" spans="1:25" ht="14.4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40">
        <f>SUM(G129:G133)</f>
        <v>31300.775778985513</v>
      </c>
      <c r="J129" s="740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 t="s">
        <v>453</v>
      </c>
      <c r="T129" s="672">
        <v>46081</v>
      </c>
      <c r="U129" s="509">
        <f t="shared" ref="U129:U134" si="17">(Q129/$X$129*$J$129)</f>
        <v>35569.063385210808</v>
      </c>
      <c r="V129" s="762">
        <f>J129-SUM(U129:U134)</f>
        <v>0</v>
      </c>
      <c r="W129" s="582">
        <f>T129+31</f>
        <v>46112</v>
      </c>
      <c r="X129" s="753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41"/>
      <c r="J130" s="741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63"/>
      <c r="W130" s="575"/>
      <c r="X130" s="754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41"/>
      <c r="J131" s="741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63"/>
      <c r="W131" s="575"/>
      <c r="X131" s="754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41"/>
      <c r="J132" s="741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63"/>
      <c r="W132" s="575"/>
      <c r="X132" s="754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41"/>
      <c r="J133" s="741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63"/>
      <c r="W133" s="575"/>
      <c r="X133" s="754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42"/>
      <c r="J134" s="742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64"/>
      <c r="W134" s="577"/>
      <c r="X134" s="755"/>
      <c r="Y134" s="479"/>
    </row>
    <row r="135" spans="1:25" ht="14.4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454</v>
      </c>
      <c r="D136" s="269" t="s">
        <v>455</v>
      </c>
      <c r="E136" s="270"/>
      <c r="F136" s="467"/>
      <c r="G136" s="337">
        <f>D190</f>
        <v>6300</v>
      </c>
      <c r="H136" s="547">
        <v>45930</v>
      </c>
      <c r="I136" s="771">
        <f>SUM(G136:G147)</f>
        <v>6300</v>
      </c>
      <c r="J136" s="771">
        <f>F190</f>
        <v>7000</v>
      </c>
      <c r="K136" s="338"/>
      <c r="L136" s="268">
        <v>14</v>
      </c>
      <c r="M136" s="432" t="s">
        <v>456</v>
      </c>
      <c r="N136" s="269" t="s">
        <v>376</v>
      </c>
      <c r="O136" s="566"/>
      <c r="P136" s="656"/>
      <c r="Q136" s="661">
        <v>28.56</v>
      </c>
      <c r="R136" s="658"/>
      <c r="S136" s="646" t="s">
        <v>457</v>
      </c>
      <c r="T136" s="688">
        <v>45930</v>
      </c>
      <c r="U136" s="695">
        <v>62.896405919661731</v>
      </c>
      <c r="V136" s="783">
        <f>J136-SUM(U136:U147)</f>
        <v>-3.0106972481007688E-3</v>
      </c>
      <c r="W136" s="689">
        <v>45940</v>
      </c>
      <c r="X136" s="797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72"/>
      <c r="J137" s="772"/>
      <c r="K137" s="271"/>
      <c r="L137" s="339">
        <v>14</v>
      </c>
      <c r="M137" s="433" t="s">
        <v>456</v>
      </c>
      <c r="N137" s="340" t="s">
        <v>376</v>
      </c>
      <c r="O137" s="567"/>
      <c r="P137" s="657"/>
      <c r="Q137" s="660">
        <v>37</v>
      </c>
      <c r="R137" s="659"/>
      <c r="S137" s="646" t="s">
        <v>457</v>
      </c>
      <c r="T137" s="706">
        <v>45961</v>
      </c>
      <c r="U137" s="711">
        <v>299.72248585606377</v>
      </c>
      <c r="V137" s="784"/>
      <c r="W137" s="689">
        <v>45967</v>
      </c>
      <c r="X137" s="798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72"/>
      <c r="J138" s="772"/>
      <c r="K138" s="271"/>
      <c r="L138" s="339">
        <v>14</v>
      </c>
      <c r="M138" s="433" t="s">
        <v>456</v>
      </c>
      <c r="N138" s="340" t="s">
        <v>376</v>
      </c>
      <c r="O138" s="567"/>
      <c r="P138" s="468"/>
      <c r="Q138" s="342">
        <v>37</v>
      </c>
      <c r="R138" s="606"/>
      <c r="S138" s="646" t="s">
        <v>457</v>
      </c>
      <c r="T138" s="706">
        <v>45991</v>
      </c>
      <c r="U138" s="711">
        <v>234.90785081991004</v>
      </c>
      <c r="V138" s="784"/>
      <c r="W138" s="689">
        <v>45996</v>
      </c>
      <c r="X138" s="798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72"/>
      <c r="J139" s="772"/>
      <c r="K139" s="271"/>
      <c r="L139" s="339">
        <v>14</v>
      </c>
      <c r="M139" s="433" t="s">
        <v>456</v>
      </c>
      <c r="N139" s="340" t="s">
        <v>376</v>
      </c>
      <c r="O139" s="567"/>
      <c r="P139" s="468"/>
      <c r="Q139" s="342">
        <v>57.12</v>
      </c>
      <c r="R139" s="606"/>
      <c r="S139" s="646" t="s">
        <v>457</v>
      </c>
      <c r="T139" s="706">
        <v>46022</v>
      </c>
      <c r="U139" s="711">
        <v>366.32476821192051</v>
      </c>
      <c r="V139" s="784"/>
      <c r="W139" s="689">
        <v>46030</v>
      </c>
      <c r="X139" s="798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72"/>
      <c r="J140" s="772"/>
      <c r="K140" s="271"/>
      <c r="L140" s="339">
        <v>14</v>
      </c>
      <c r="M140" s="433" t="s">
        <v>456</v>
      </c>
      <c r="N140" s="340" t="s">
        <v>376</v>
      </c>
      <c r="O140" s="567"/>
      <c r="P140" s="468"/>
      <c r="Q140" s="342">
        <v>109.48</v>
      </c>
      <c r="R140" s="606"/>
      <c r="S140" s="646" t="s">
        <v>457</v>
      </c>
      <c r="T140" s="706">
        <v>46053</v>
      </c>
      <c r="U140" s="711">
        <v>520.69245611270446</v>
      </c>
      <c r="V140" s="784"/>
      <c r="W140" s="689">
        <v>46058</v>
      </c>
      <c r="X140" s="798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72"/>
      <c r="J141" s="772"/>
      <c r="K141" s="271"/>
      <c r="L141" s="339">
        <v>14</v>
      </c>
      <c r="M141" s="433" t="s">
        <v>456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784"/>
      <c r="W141" s="588">
        <v>46086</v>
      </c>
      <c r="X141" s="798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72"/>
      <c r="J142" s="772"/>
      <c r="K142" s="271"/>
      <c r="L142" s="339">
        <v>14</v>
      </c>
      <c r="M142" s="433" t="s">
        <v>456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784"/>
      <c r="W142" s="588">
        <v>46121</v>
      </c>
      <c r="X142" s="798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72"/>
      <c r="J143" s="772"/>
      <c r="K143" s="271"/>
      <c r="L143" s="339">
        <v>14</v>
      </c>
      <c r="M143" s="433" t="s">
        <v>456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784"/>
      <c r="W143" s="588"/>
      <c r="X143" s="798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72"/>
      <c r="J144" s="772"/>
      <c r="K144" s="271"/>
      <c r="L144" s="339">
        <v>14</v>
      </c>
      <c r="M144" s="433" t="s">
        <v>456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784"/>
      <c r="W144" s="588"/>
      <c r="X144" s="798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72"/>
      <c r="J145" s="772"/>
      <c r="K145" s="271"/>
      <c r="L145" s="339">
        <v>14</v>
      </c>
      <c r="M145" s="433" t="s">
        <v>456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784"/>
      <c r="W145" s="588"/>
      <c r="X145" s="798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72"/>
      <c r="J146" s="772"/>
      <c r="K146" s="271"/>
      <c r="L146" s="339">
        <v>14</v>
      </c>
      <c r="M146" s="433" t="s">
        <v>456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784"/>
      <c r="W146" s="588"/>
      <c r="X146" s="798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73"/>
      <c r="J147" s="773"/>
      <c r="K147" s="274"/>
      <c r="L147" s="272">
        <v>14</v>
      </c>
      <c r="M147" s="434" t="s">
        <v>456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785"/>
      <c r="W147" s="589"/>
      <c r="X147" s="799"/>
      <c r="Y147" s="479"/>
    </row>
    <row r="148" spans="1:25" ht="14.4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458</v>
      </c>
      <c r="D149" s="281"/>
      <c r="E149" s="282"/>
      <c r="F149" s="435"/>
      <c r="G149" s="283"/>
      <c r="H149" s="540"/>
      <c r="I149" s="740">
        <f>SUM(G149:G162)</f>
        <v>0</v>
      </c>
      <c r="J149" s="740">
        <f>F187</f>
        <v>0</v>
      </c>
      <c r="K149" s="284"/>
      <c r="L149" s="280">
        <v>15</v>
      </c>
      <c r="M149" s="350" t="s">
        <v>459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62">
        <v>0</v>
      </c>
      <c r="W149" s="582"/>
      <c r="X149" s="753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41"/>
      <c r="J150" s="741"/>
      <c r="K150" s="287"/>
      <c r="L150" s="310">
        <v>15</v>
      </c>
      <c r="M150" s="388" t="s">
        <v>459</v>
      </c>
      <c r="N150" s="312"/>
      <c r="O150" s="555"/>
      <c r="P150" s="456"/>
      <c r="Q150" s="314"/>
      <c r="R150" s="591"/>
      <c r="S150" s="628"/>
      <c r="T150" s="516"/>
      <c r="U150" s="501"/>
      <c r="V150" s="763"/>
      <c r="W150" s="575"/>
      <c r="X150" s="754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41"/>
      <c r="J151" s="741"/>
      <c r="K151" s="287"/>
      <c r="L151" s="310">
        <v>15</v>
      </c>
      <c r="M151" s="388" t="s">
        <v>459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63"/>
      <c r="W151" s="575"/>
      <c r="X151" s="754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41"/>
      <c r="J152" s="741"/>
      <c r="K152" s="287"/>
      <c r="L152" s="310">
        <v>15</v>
      </c>
      <c r="M152" s="388" t="s">
        <v>459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63"/>
      <c r="W152" s="575"/>
      <c r="X152" s="754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41"/>
      <c r="J153" s="741"/>
      <c r="K153" s="287"/>
      <c r="L153" s="310">
        <v>15</v>
      </c>
      <c r="M153" s="388" t="s">
        <v>459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63"/>
      <c r="W153" s="575"/>
      <c r="X153" s="754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41"/>
      <c r="J154" s="741"/>
      <c r="K154" s="287"/>
      <c r="L154" s="310">
        <v>15</v>
      </c>
      <c r="M154" s="388" t="s">
        <v>459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63"/>
      <c r="W154" s="575"/>
      <c r="X154" s="754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41"/>
      <c r="J155" s="741"/>
      <c r="K155" s="287"/>
      <c r="L155" s="310">
        <v>15</v>
      </c>
      <c r="M155" s="388" t="s">
        <v>459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63"/>
      <c r="W155" s="575"/>
      <c r="X155" s="754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41"/>
      <c r="J156" s="741"/>
      <c r="K156" s="287"/>
      <c r="L156" s="310">
        <v>15</v>
      </c>
      <c r="M156" s="388" t="s">
        <v>459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63"/>
      <c r="W156" s="575"/>
      <c r="X156" s="754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41"/>
      <c r="J157" s="741"/>
      <c r="K157" s="287"/>
      <c r="L157" s="310">
        <v>15</v>
      </c>
      <c r="M157" s="388" t="s">
        <v>459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63"/>
      <c r="W157" s="575"/>
      <c r="X157" s="754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41"/>
      <c r="J158" s="741"/>
      <c r="K158" s="287"/>
      <c r="L158" s="310">
        <v>15</v>
      </c>
      <c r="M158" s="388" t="s">
        <v>459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63"/>
      <c r="W158" s="575"/>
      <c r="X158" s="754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41"/>
      <c r="J159" s="741"/>
      <c r="K159" s="287"/>
      <c r="L159" s="310">
        <v>15</v>
      </c>
      <c r="M159" s="388" t="s">
        <v>459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63"/>
      <c r="W159" s="575"/>
      <c r="X159" s="754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41"/>
      <c r="J160" s="741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63"/>
      <c r="W160" s="576"/>
      <c r="X160" s="754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41"/>
      <c r="J161" s="741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63"/>
      <c r="W161" s="576"/>
      <c r="X161" s="754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42"/>
      <c r="J162" s="742"/>
      <c r="K162" s="288"/>
      <c r="L162" s="315">
        <v>16</v>
      </c>
      <c r="M162" s="417" t="s">
        <v>460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64"/>
      <c r="W162" s="577"/>
      <c r="X162" s="755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461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462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463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464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465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466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467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468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469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470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471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472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473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474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475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476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477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478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479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466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480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481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90"/>
  </cols>
  <sheetData>
    <row r="1" spans="1:1837">
      <c r="D1" s="186" t="s">
        <v>482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483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486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487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489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490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491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7"/>
      <c r="B17" s="194" t="s">
        <v>492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493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"/>
  <cols>
    <col min="1" max="1" width="39.44140625" style="365" bestFit="1" customWidth="1"/>
    <col min="2" max="2" width="17" style="366" bestFit="1" customWidth="1"/>
    <col min="3" max="3" width="13" style="365" bestFit="1" customWidth="1"/>
    <col min="4" max="4" width="14.88671875" style="365" bestFit="1" customWidth="1"/>
    <col min="5" max="6" width="13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4.88671875" style="365" bestFit="1" customWidth="1"/>
    <col min="12" max="12" width="6" style="365" bestFit="1" customWidth="1"/>
    <col min="13" max="13" width="14.44140625" style="365" bestFit="1" customWidth="1"/>
    <col min="14" max="14" width="13.5546875" style="365" bestFit="1" customWidth="1"/>
    <col min="15" max="18" width="11.44140625" style="365" bestFit="1" customWidth="1"/>
    <col min="19" max="19" width="13.554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494</v>
      </c>
      <c r="B3" s="670" t="s">
        <v>495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  <c r="L4"/>
      <c r="M4"/>
      <c r="N4"/>
      <c r="O4"/>
      <c r="P4"/>
      <c r="Q4"/>
      <c r="R4"/>
      <c r="S4"/>
      <c r="T4"/>
    </row>
    <row r="5" spans="1:20">
      <c r="A5" s="444" t="s">
        <v>497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456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459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460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498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4140625" defaultRowHeight="14.4"/>
  <cols>
    <col min="1" max="1" width="21.77734375" bestFit="1" customWidth="1"/>
    <col min="2" max="2" width="17" style="406" bestFit="1" customWidth="1"/>
    <col min="3" max="3" width="13" style="406" bestFit="1" customWidth="1"/>
    <col min="4" max="4" width="14.88671875" style="406" bestFit="1" customWidth="1"/>
    <col min="5" max="6" width="13" style="406" bestFit="1" customWidth="1"/>
    <col min="7" max="9" width="12" style="406" bestFit="1" customWidth="1"/>
    <col min="10" max="10" width="10.6640625" bestFit="1" customWidth="1"/>
    <col min="11" max="11" width="14.88671875" bestFit="1" customWidth="1"/>
    <col min="12" max="12" width="10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" bestFit="1" customWidth="1"/>
    <col min="17" max="18" width="11.5546875" bestFit="1" customWidth="1"/>
    <col min="19" max="19" width="13.44140625" bestFit="1" customWidth="1"/>
  </cols>
  <sheetData>
    <row r="3" spans="1:11">
      <c r="A3" s="670" t="s">
        <v>499</v>
      </c>
      <c r="B3" s="670" t="s">
        <v>495</v>
      </c>
      <c r="C3"/>
      <c r="D3"/>
      <c r="E3"/>
      <c r="F3"/>
      <c r="G3"/>
      <c r="H3"/>
      <c r="I3"/>
    </row>
    <row r="4" spans="1:11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</row>
    <row r="5" spans="1:11">
      <c r="A5" s="444" t="s">
        <v>497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456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459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460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498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500</v>
      </c>
    </row>
    <row r="2" spans="1:4">
      <c r="A2" s="849"/>
      <c r="B2" s="849"/>
      <c r="C2" s="849"/>
      <c r="D2" s="71"/>
    </row>
    <row r="3" spans="1:4">
      <c r="A3" s="848" t="s">
        <v>501</v>
      </c>
      <c r="B3" s="848"/>
      <c r="C3" s="848"/>
      <c r="D3" s="111">
        <v>0.32</v>
      </c>
    </row>
    <row r="4" spans="1:4">
      <c r="A4" s="848" t="s">
        <v>469</v>
      </c>
      <c r="B4" s="848"/>
      <c r="C4" s="848"/>
      <c r="D4" s="111">
        <v>0.5</v>
      </c>
    </row>
    <row r="5" spans="1:4">
      <c r="A5" s="848" t="s">
        <v>480</v>
      </c>
      <c r="B5" s="848"/>
      <c r="C5" s="848"/>
      <c r="D5" s="111">
        <v>0.15</v>
      </c>
    </row>
    <row r="6" spans="1:4">
      <c r="A6" s="848" t="s">
        <v>502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50" t="s">
        <v>503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105</v>
      </c>
      <c r="C4" s="86"/>
      <c r="D4" s="90" t="s">
        <v>504</v>
      </c>
      <c r="E4" s="95"/>
      <c r="F4" s="90" t="s">
        <v>505</v>
      </c>
      <c r="H4" s="90" t="s">
        <v>506</v>
      </c>
      <c r="I4" s="95"/>
      <c r="J4" s="90" t="s">
        <v>507</v>
      </c>
      <c r="L4" s="90" t="s">
        <v>506</v>
      </c>
      <c r="M4" s="90"/>
      <c r="N4" s="90" t="s">
        <v>508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509</v>
      </c>
      <c r="H7" s="99"/>
      <c r="I7" s="95"/>
      <c r="J7" s="107" t="s">
        <v>509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509</v>
      </c>
      <c r="H15" s="99"/>
      <c r="I15" s="95"/>
      <c r="J15" s="107" t="s">
        <v>509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509</v>
      </c>
      <c r="H21" s="99"/>
      <c r="I21" s="95"/>
      <c r="J21" s="107" t="s">
        <v>509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509</v>
      </c>
      <c r="H27" s="99"/>
      <c r="I27" s="95"/>
      <c r="J27" s="107" t="s">
        <v>509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509</v>
      </c>
      <c r="H34" s="99"/>
      <c r="I34" s="95"/>
      <c r="J34" s="107" t="s">
        <v>509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0" t="s">
        <v>523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105</v>
      </c>
      <c r="C4" s="86"/>
      <c r="D4" s="90" t="s">
        <v>504</v>
      </c>
      <c r="E4" s="95"/>
      <c r="F4" s="95"/>
      <c r="G4" s="90" t="s">
        <v>524</v>
      </c>
      <c r="H4" s="96"/>
      <c r="J4" s="90" t="s">
        <v>506</v>
      </c>
      <c r="L4" s="90" t="s">
        <v>525</v>
      </c>
      <c r="M4" s="96"/>
      <c r="O4" s="90" t="s">
        <v>506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504</v>
      </c>
      <c r="E18" s="95"/>
      <c r="F18" s="95"/>
      <c r="G18" s="90" t="s">
        <v>527</v>
      </c>
      <c r="H18" s="96"/>
      <c r="J18" s="90" t="s">
        <v>506</v>
      </c>
      <c r="L18" s="90" t="s">
        <v>528</v>
      </c>
      <c r="M18" s="96"/>
      <c r="O18" s="90" t="s">
        <v>506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534</v>
      </c>
      <c r="C32" s="103"/>
      <c r="D32" s="103"/>
    </row>
    <row r="33" spans="2:4" ht="13.8" thickTop="1"/>
    <row r="34" spans="2:4">
      <c r="B34" s="88" t="s">
        <v>504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19.5546875" bestFit="1" customWidth="1"/>
  </cols>
  <sheetData>
    <row r="1" spans="2:14">
      <c r="B1" s="852" t="str">
        <f>D15</f>
        <v>1 Bolt Ave</v>
      </c>
      <c r="C1" s="852"/>
      <c r="D1" s="852"/>
      <c r="E1" s="851" t="s">
        <v>536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537</v>
      </c>
      <c r="D3" s="72" t="s">
        <v>538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2026-03-05T08:39:06Z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