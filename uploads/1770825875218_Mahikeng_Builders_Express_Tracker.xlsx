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93" documentId="13_ncr:1_{88662233-A3CA-4DB1-B156-E0D8D78B7588}" xr6:coauthVersionLast="47" xr6:coauthVersionMax="47" xr10:uidLastSave="{D2097AE6-C343-4B1A-9E51-E2FDB8C7D24B}"/>
  <bookViews>
    <workbookView xWindow="11280" yWindow="96" windowWidth="11796" windowHeight="12072" tabRatio="655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Compliance" sheetId="22" r:id="rId4"/>
    <sheet name="Project Plan" sheetId="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4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7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6" i="18" l="1"/>
  <c r="N48" i="2"/>
  <c r="K48" i="2"/>
  <c r="P23" i="5"/>
  <c r="Q30" i="18"/>
  <c r="P25" i="5"/>
  <c r="Q29" i="18"/>
  <c r="Q106" i="18"/>
  <c r="Q105" i="18"/>
  <c r="S37" i="18"/>
  <c r="S64" i="18"/>
  <c r="S136" i="18"/>
  <c r="W122" i="18"/>
  <c r="W39" i="18" s="1"/>
  <c r="U178" i="18"/>
  <c r="F22" i="5"/>
  <c r="B13" i="25"/>
  <c r="B6" i="25"/>
  <c r="B15" i="25"/>
  <c r="B16" i="25" s="1"/>
  <c r="B17" i="25" s="1"/>
  <c r="Q103" i="18"/>
  <c r="Q102" i="18"/>
  <c r="F24" i="5"/>
  <c r="Q147" i="18"/>
  <c r="Q176" i="18"/>
  <c r="Q175" i="18"/>
  <c r="S59" i="18"/>
  <c r="S32" i="18" s="1"/>
  <c r="S131" i="18"/>
  <c r="W13" i="18"/>
  <c r="W44" i="18" s="1"/>
  <c r="P7" i="18"/>
  <c r="T22" i="18"/>
  <c r="I23" i="2"/>
  <c r="I37" i="2"/>
  <c r="I31" i="2"/>
  <c r="O131" i="18"/>
  <c r="Q133" i="18" s="1"/>
  <c r="O59" i="18"/>
  <c r="Q63" i="18" s="1"/>
  <c r="O115" i="18"/>
  <c r="AF28" i="18"/>
  <c r="O32" i="18" s="1"/>
  <c r="Q35" i="18" s="1"/>
  <c r="AB30" i="18"/>
  <c r="AB29" i="18"/>
  <c r="AA29" i="18"/>
  <c r="AA30" i="18"/>
  <c r="T44" i="18"/>
  <c r="C4" i="24"/>
  <c r="Q21" i="18"/>
  <c r="X21" i="18" s="1"/>
  <c r="H11" i="3" s="1"/>
  <c r="K25" i="2"/>
  <c r="I26" i="2" s="1"/>
  <c r="I15" i="2"/>
  <c r="K15" i="2" s="1"/>
  <c r="K14" i="2"/>
  <c r="K12" i="2"/>
  <c r="I13" i="2"/>
  <c r="T112" i="18"/>
  <c r="T109" i="18"/>
  <c r="T107" i="18"/>
  <c r="T102" i="18"/>
  <c r="T101" i="18"/>
  <c r="T100" i="18"/>
  <c r="T98" i="18"/>
  <c r="T97" i="18"/>
  <c r="T95" i="18"/>
  <c r="Z35" i="18"/>
  <c r="Z38" i="18" s="1"/>
  <c r="Z39" i="18" s="1"/>
  <c r="J80" i="18"/>
  <c r="G80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1" i="18"/>
  <c r="T50" i="18"/>
  <c r="T49" i="18"/>
  <c r="Q151" i="18"/>
  <c r="X151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29" i="2"/>
  <c r="M36" i="2"/>
  <c r="M22" i="2"/>
  <c r="H18" i="5"/>
  <c r="G37" i="2"/>
  <c r="E38" i="2" s="1"/>
  <c r="E34" i="2" s="1"/>
  <c r="G34" i="2" s="1"/>
  <c r="H6" i="18"/>
  <c r="W22" i="18"/>
  <c r="G1" i="6"/>
  <c r="H1" i="6" s="1"/>
  <c r="I1" i="6" s="1"/>
  <c r="J1" i="6" s="1"/>
  <c r="K1" i="6" s="1"/>
  <c r="L1" i="6" s="1"/>
  <c r="M1" i="6" s="1"/>
  <c r="N1" i="6" s="1"/>
  <c r="T139" i="18"/>
  <c r="T140" i="18"/>
  <c r="T141" i="18"/>
  <c r="T142" i="18"/>
  <c r="T150" i="18"/>
  <c r="T152" i="18"/>
  <c r="T153" i="18"/>
  <c r="T160" i="18"/>
  <c r="T166" i="18"/>
  <c r="T167" i="18"/>
  <c r="T168" i="18"/>
  <c r="T169" i="18"/>
  <c r="T170" i="18"/>
  <c r="T171" i="18"/>
  <c r="T172" i="18"/>
  <c r="T173" i="18"/>
  <c r="T27" i="18"/>
  <c r="T26" i="18"/>
  <c r="T25" i="18"/>
  <c r="T24" i="18"/>
  <c r="T23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 s="1"/>
  <c r="H10" i="3" s="1"/>
  <c r="G154" i="18"/>
  <c r="T9" i="2"/>
  <c r="S9" i="2"/>
  <c r="S21" i="2"/>
  <c r="S20" i="2"/>
  <c r="S19" i="2"/>
  <c r="S18" i="2"/>
  <c r="S17" i="2"/>
  <c r="S16" i="2"/>
  <c r="S14" i="2"/>
  <c r="S13" i="2"/>
  <c r="X44" i="18"/>
  <c r="H13" i="3" s="1"/>
  <c r="AO13" i="5"/>
  <c r="G130" i="18"/>
  <c r="Z18" i="18" s="1"/>
  <c r="J127" i="18"/>
  <c r="T185" i="18"/>
  <c r="T184" i="18"/>
  <c r="T183" i="18"/>
  <c r="T182" i="18"/>
  <c r="T130" i="18"/>
  <c r="T129" i="18"/>
  <c r="T128" i="18"/>
  <c r="T126" i="18"/>
  <c r="T125" i="18"/>
  <c r="T123" i="18"/>
  <c r="T114" i="18"/>
  <c r="T113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J71" i="18"/>
  <c r="V71" i="18" s="1"/>
  <c r="E28" i="18"/>
  <c r="I151" i="18"/>
  <c r="F20" i="3" s="1"/>
  <c r="J174" i="18"/>
  <c r="G161" i="18"/>
  <c r="I161" i="18" s="1"/>
  <c r="F22" i="3" s="1"/>
  <c r="G129" i="18"/>
  <c r="G128" i="18"/>
  <c r="Z17" i="18" s="1"/>
  <c r="G127" i="18"/>
  <c r="Z16" i="18" s="1"/>
  <c r="G115" i="18"/>
  <c r="Z15" i="18" s="1"/>
  <c r="AA15" i="18" s="1"/>
  <c r="G114" i="18"/>
  <c r="Z14" i="18" s="1"/>
  <c r="AA14" i="18" s="1"/>
  <c r="G53" i="18"/>
  <c r="Z12" i="18" s="1"/>
  <c r="G44" i="18"/>
  <c r="I44" i="18" s="1"/>
  <c r="F13" i="3" s="1"/>
  <c r="G29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Y30" i="18"/>
  <c r="Y29" i="18"/>
  <c r="Y28" i="18"/>
  <c r="Y27" i="18"/>
  <c r="J161" i="18"/>
  <c r="J154" i="18"/>
  <c r="J143" i="18"/>
  <c r="J114" i="18"/>
  <c r="J53" i="18"/>
  <c r="J44" i="18"/>
  <c r="J28" i="18"/>
  <c r="J21" i="18"/>
  <c r="V21" i="18" s="1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4" i="18"/>
  <c r="H23" i="3" s="1"/>
  <c r="I174" i="18"/>
  <c r="F23" i="3" s="1"/>
  <c r="X71" i="18"/>
  <c r="H15" i="3" s="1"/>
  <c r="I71" i="18"/>
  <c r="F15" i="3" s="1"/>
  <c r="I80" i="18"/>
  <c r="F16" i="3" s="1"/>
  <c r="O1" i="2"/>
  <c r="N1" i="2"/>
  <c r="G25" i="3"/>
  <c r="D4" i="5"/>
  <c r="F17" i="5" s="1"/>
  <c r="E54" i="5"/>
  <c r="E55" i="5"/>
  <c r="E29" i="5"/>
  <c r="I143" i="18"/>
  <c r="F19" i="3" s="1"/>
  <c r="I154" i="18"/>
  <c r="F21" i="3" s="1"/>
  <c r="W28" i="18"/>
  <c r="N14" i="2"/>
  <c r="Q6" i="18"/>
  <c r="X6" i="18" s="1"/>
  <c r="H9" i="3" s="1"/>
  <c r="X161" i="18"/>
  <c r="U170" i="18" s="1"/>
  <c r="V6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4" i="18" s="1"/>
  <c r="H45" i="18" s="1"/>
  <c r="W59" i="18"/>
  <c r="W32" i="18"/>
  <c r="W131" i="18"/>
  <c r="W132" i="18"/>
  <c r="W33" i="18"/>
  <c r="W60" i="18"/>
  <c r="N33" i="2"/>
  <c r="N31" i="2"/>
  <c r="T132" i="18"/>
  <c r="T59" i="18"/>
  <c r="T131" i="18"/>
  <c r="T32" i="18"/>
  <c r="W134" i="18"/>
  <c r="Q39" i="18"/>
  <c r="Q36" i="18"/>
  <c r="Q32" i="18"/>
  <c r="T62" i="18"/>
  <c r="T134" i="18"/>
  <c r="T35" i="18"/>
  <c r="W35" i="18"/>
  <c r="W62" i="18"/>
  <c r="Q60" i="18"/>
  <c r="Q118" i="18"/>
  <c r="Q119" i="18"/>
  <c r="Q115" i="18"/>
  <c r="Q120" i="18"/>
  <c r="Q117" i="18"/>
  <c r="Q121" i="18"/>
  <c r="Q116" i="18"/>
  <c r="Q62" i="18"/>
  <c r="Q122" i="18"/>
  <c r="W34" i="18"/>
  <c r="T117" i="18"/>
  <c r="T61" i="18" s="1"/>
  <c r="W133" i="18"/>
  <c r="W61" i="18"/>
  <c r="P27" i="5"/>
  <c r="P26" i="5" s="1"/>
  <c r="W108" i="18"/>
  <c r="W36" i="18"/>
  <c r="W135" i="18"/>
  <c r="W63" i="18"/>
  <c r="T119" i="18"/>
  <c r="T135" i="18" s="1"/>
  <c r="T122" i="18"/>
  <c r="T66" i="18" s="1"/>
  <c r="W138" i="18"/>
  <c r="T137" i="18"/>
  <c r="W137" i="18"/>
  <c r="T37" i="18"/>
  <c r="W136" i="18"/>
  <c r="W64" i="18"/>
  <c r="W37" i="18"/>
  <c r="T64" i="18"/>
  <c r="K9" i="6"/>
  <c r="M9" i="6"/>
  <c r="F9" i="6"/>
  <c r="F10" i="6" s="1"/>
  <c r="T63" i="18" l="1"/>
  <c r="Q61" i="18"/>
  <c r="X143" i="18"/>
  <c r="H19" i="3" s="1"/>
  <c r="Q64" i="18"/>
  <c r="Q132" i="18"/>
  <c r="Q66" i="18"/>
  <c r="Q59" i="18"/>
  <c r="X53" i="18" s="1"/>
  <c r="Q65" i="18"/>
  <c r="I28" i="18"/>
  <c r="F12" i="3" s="1"/>
  <c r="J13" i="3"/>
  <c r="X114" i="18"/>
  <c r="U123" i="18" s="1"/>
  <c r="U49" i="18"/>
  <c r="Q136" i="18"/>
  <c r="Q134" i="18"/>
  <c r="J20" i="3"/>
  <c r="I53" i="18"/>
  <c r="F14" i="3" s="1"/>
  <c r="AB38" i="18"/>
  <c r="AB39" i="18" s="1"/>
  <c r="T36" i="18"/>
  <c r="J15" i="3"/>
  <c r="Q131" i="18"/>
  <c r="I127" i="18"/>
  <c r="F18" i="3" s="1"/>
  <c r="Q135" i="18"/>
  <c r="J23" i="3"/>
  <c r="U171" i="18"/>
  <c r="J9" i="3"/>
  <c r="Z22" i="18"/>
  <c r="Z23" i="18" s="1"/>
  <c r="Z24" i="18" s="1"/>
  <c r="U169" i="18"/>
  <c r="X80" i="18"/>
  <c r="U90" i="18" s="1"/>
  <c r="U158" i="18"/>
  <c r="AA41" i="18"/>
  <c r="J2" i="18"/>
  <c r="J4" i="18" s="1"/>
  <c r="I114" i="18"/>
  <c r="F17" i="3" s="1"/>
  <c r="V13" i="18"/>
  <c r="J10" i="3"/>
  <c r="J11" i="3"/>
  <c r="U172" i="18"/>
  <c r="J19" i="2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K11" i="2"/>
  <c r="J11" i="2" s="1"/>
  <c r="U13" i="2" s="1"/>
  <c r="G19" i="2"/>
  <c r="F19" i="2" s="1"/>
  <c r="N25" i="2"/>
  <c r="E33" i="2"/>
  <c r="T39" i="18"/>
  <c r="W66" i="18"/>
  <c r="M11" i="6" s="1"/>
  <c r="T138" i="18"/>
  <c r="U85" i="18"/>
  <c r="J19" i="3"/>
  <c r="U146" i="18"/>
  <c r="U100" i="18"/>
  <c r="U98" i="18"/>
  <c r="L9" i="6"/>
  <c r="I9" i="6"/>
  <c r="J9" i="6"/>
  <c r="G9" i="6"/>
  <c r="H9" i="6"/>
  <c r="H17" i="3"/>
  <c r="T34" i="18"/>
  <c r="T133" i="18"/>
  <c r="K26" i="2"/>
  <c r="N26" i="2" s="1"/>
  <c r="I27" i="2"/>
  <c r="I22" i="2" s="1"/>
  <c r="T16" i="2" s="1"/>
  <c r="U165" i="18"/>
  <c r="U168" i="18"/>
  <c r="U166" i="18"/>
  <c r="H22" i="3"/>
  <c r="J22" i="3" s="1"/>
  <c r="U167" i="18"/>
  <c r="G32" i="2"/>
  <c r="E29" i="2"/>
  <c r="U156" i="18"/>
  <c r="H21" i="3"/>
  <c r="J21" i="3" s="1"/>
  <c r="U157" i="18"/>
  <c r="U159" i="18"/>
  <c r="U155" i="18"/>
  <c r="U154" i="18"/>
  <c r="Q37" i="18"/>
  <c r="O120" i="18" s="1"/>
  <c r="Q34" i="18"/>
  <c r="Q38" i="18"/>
  <c r="H14" i="5"/>
  <c r="H20" i="5"/>
  <c r="E26" i="2"/>
  <c r="H53" i="18"/>
  <c r="Q33" i="18"/>
  <c r="U51" i="18"/>
  <c r="U50" i="18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38" i="18"/>
  <c r="AF39" i="18" s="1"/>
  <c r="N15" i="2"/>
  <c r="T38" i="18"/>
  <c r="T65" i="18"/>
  <c r="I11" i="6"/>
  <c r="L11" i="6"/>
  <c r="N11" i="6"/>
  <c r="G11" i="6"/>
  <c r="T136" i="18"/>
  <c r="U66" i="18" l="1"/>
  <c r="AC38" i="18"/>
  <c r="U114" i="18"/>
  <c r="F5" i="3"/>
  <c r="D5" i="5" s="1"/>
  <c r="X127" i="18"/>
  <c r="U130" i="18" s="1"/>
  <c r="U125" i="18"/>
  <c r="H16" i="3"/>
  <c r="J16" i="3" s="1"/>
  <c r="U101" i="18"/>
  <c r="U124" i="18"/>
  <c r="U84" i="18"/>
  <c r="H11" i="6"/>
  <c r="U122" i="18"/>
  <c r="V114" i="18" s="1"/>
  <c r="U107" i="18"/>
  <c r="J11" i="6"/>
  <c r="U87" i="18"/>
  <c r="U92" i="18"/>
  <c r="U91" i="18"/>
  <c r="U97" i="18"/>
  <c r="C5" i="6"/>
  <c r="D6" i="5"/>
  <c r="D7" i="5" s="1"/>
  <c r="K11" i="6"/>
  <c r="V44" i="18"/>
  <c r="U89" i="18"/>
  <c r="F11" i="6"/>
  <c r="F12" i="6" s="1"/>
  <c r="J17" i="3"/>
  <c r="U99" i="18"/>
  <c r="U86" i="18"/>
  <c r="I2" i="18"/>
  <c r="F25" i="3" s="1"/>
  <c r="U112" i="18"/>
  <c r="U96" i="18"/>
  <c r="U83" i="18"/>
  <c r="U95" i="18"/>
  <c r="H15" i="5"/>
  <c r="V13" i="2"/>
  <c r="F29" i="5"/>
  <c r="F4" i="5" s="1"/>
  <c r="H28" i="18"/>
  <c r="G33" i="2"/>
  <c r="G29" i="2" s="1"/>
  <c r="U14" i="2"/>
  <c r="M19" i="2"/>
  <c r="M9" i="2" s="1"/>
  <c r="U139" i="18"/>
  <c r="U138" i="18"/>
  <c r="U128" i="18"/>
  <c r="H18" i="3"/>
  <c r="J18" i="3" s="1"/>
  <c r="U129" i="18"/>
  <c r="U58" i="18"/>
  <c r="U54" i="18"/>
  <c r="U67" i="18"/>
  <c r="U57" i="18"/>
  <c r="U53" i="18"/>
  <c r="U69" i="18"/>
  <c r="U55" i="18"/>
  <c r="U68" i="18"/>
  <c r="U56" i="18"/>
  <c r="H14" i="3"/>
  <c r="J14" i="3" s="1"/>
  <c r="V154" i="18"/>
  <c r="I38" i="2"/>
  <c r="N32" i="2"/>
  <c r="N23" i="2"/>
  <c r="H16" i="5"/>
  <c r="K27" i="2"/>
  <c r="K22" i="2" s="1"/>
  <c r="N27" i="2"/>
  <c r="X28" i="18"/>
  <c r="U39" i="18" s="1"/>
  <c r="E27" i="2"/>
  <c r="G26" i="2"/>
  <c r="N37" i="2"/>
  <c r="V143" i="18"/>
  <c r="P1" i="6"/>
  <c r="N9" i="6"/>
  <c r="H27" i="5"/>
  <c r="H24" i="5"/>
  <c r="H26" i="5"/>
  <c r="V161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O17" i="6"/>
  <c r="U140" i="18" l="1"/>
  <c r="V80" i="18"/>
  <c r="F55" i="5"/>
  <c r="F53" i="5" s="1"/>
  <c r="J22" i="2"/>
  <c r="U16" i="2" s="1"/>
  <c r="V16" i="2"/>
  <c r="P17" i="6"/>
  <c r="X4" i="5"/>
  <c r="N22" i="2"/>
  <c r="N10" i="6"/>
  <c r="V127" i="18"/>
  <c r="K38" i="2"/>
  <c r="K36" i="2" s="1"/>
  <c r="I34" i="2"/>
  <c r="I36" i="2"/>
  <c r="T18" i="2" s="1"/>
  <c r="V53" i="18"/>
  <c r="H115" i="18"/>
  <c r="H29" i="18"/>
  <c r="F29" i="2"/>
  <c r="Q1" i="6"/>
  <c r="O11" i="6"/>
  <c r="P11" i="6"/>
  <c r="F51" i="5"/>
  <c r="F49" i="5"/>
  <c r="F52" i="5"/>
  <c r="F50" i="5"/>
  <c r="G27" i="2"/>
  <c r="G22" i="2" s="1"/>
  <c r="E22" i="2"/>
  <c r="C9" i="6"/>
  <c r="O9" i="6"/>
  <c r="U41" i="18"/>
  <c r="H12" i="3"/>
  <c r="U40" i="18"/>
  <c r="U42" i="18"/>
  <c r="U31" i="18"/>
  <c r="X2" i="18"/>
  <c r="V4" i="5"/>
  <c r="F18" i="6"/>
  <c r="F14" i="6"/>
  <c r="G12" i="6"/>
  <c r="V28" i="18" l="1"/>
  <c r="O10" i="6"/>
  <c r="H5" i="3"/>
  <c r="F5" i="5" s="1"/>
  <c r="J12" i="3"/>
  <c r="J5" i="3" s="1"/>
  <c r="F54" i="5"/>
  <c r="E41" i="2"/>
  <c r="F22" i="2"/>
  <c r="H114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0" i="18"/>
  <c r="H127" i="18"/>
  <c r="H128" i="18"/>
  <c r="H80" i="18"/>
  <c r="H129" i="18"/>
  <c r="K29" i="2"/>
  <c r="N29" i="2"/>
  <c r="I12" i="6"/>
  <c r="H14" i="6"/>
  <c r="J29" i="2" l="1"/>
  <c r="U17" i="2" s="1"/>
  <c r="V17" i="2"/>
  <c r="I41" i="2"/>
  <c r="H81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2" i="18"/>
  <c r="U1" i="6"/>
  <c r="K41" i="2"/>
  <c r="N41" i="2" s="1"/>
  <c r="I42" i="2"/>
  <c r="R18" i="6"/>
  <c r="S18" i="6" s="1"/>
  <c r="K12" i="6"/>
  <c r="J14" i="6"/>
  <c r="H21" i="5" l="1"/>
  <c r="F40" i="2"/>
  <c r="H143" i="18"/>
  <c r="H144" i="18" s="1"/>
  <c r="V1" i="6"/>
  <c r="U9" i="6"/>
  <c r="U11" i="6"/>
  <c r="U17" i="6"/>
  <c r="K42" i="2"/>
  <c r="I43" i="2"/>
  <c r="T11" i="6"/>
  <c r="H93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4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W10" i="6" s="1"/>
  <c r="E51" i="2"/>
  <c r="G47" i="2"/>
  <c r="E45" i="2"/>
  <c r="H95" i="18"/>
  <c r="V17" i="6"/>
  <c r="V18" i="6" s="1"/>
  <c r="V11" i="6"/>
  <c r="M14" i="6"/>
  <c r="N12" i="6"/>
  <c r="W18" i="6" l="1"/>
  <c r="E53" i="2"/>
  <c r="G53" i="2" s="1"/>
  <c r="G45" i="2"/>
  <c r="F45" i="2" s="1"/>
  <c r="G51" i="2"/>
  <c r="Z42" i="18"/>
  <c r="K4" i="2"/>
  <c r="Z41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Z3" i="6" l="1"/>
  <c r="V20" i="2"/>
  <c r="J45" i="2"/>
  <c r="U20" i="2" s="1"/>
  <c r="AB1" i="6"/>
  <c r="AA9" i="6"/>
  <c r="AA11" i="6"/>
  <c r="AA17" i="6"/>
  <c r="N51" i="2"/>
  <c r="H161" i="18"/>
  <c r="F50" i="2"/>
  <c r="H154" i="18"/>
  <c r="H23" i="5"/>
  <c r="AA3" i="6" s="1"/>
  <c r="Z17" i="6"/>
  <c r="Z18" i="6" s="1"/>
  <c r="Z11" i="6"/>
  <c r="Z9" i="6"/>
  <c r="Z10" i="6" s="1"/>
  <c r="R12" i="6"/>
  <c r="Q14" i="6"/>
  <c r="AA10" i="6" l="1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I53" i="2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H10" i="6"/>
  <c r="AH17" i="6"/>
  <c r="AH18" i="6" s="1"/>
  <c r="AH11" i="6"/>
  <c r="Z12" i="6"/>
  <c r="Y14" i="6"/>
  <c r="AI6" i="6" l="1"/>
  <c r="AI10" i="6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M18" i="6"/>
  <c r="AE12" i="6"/>
  <c r="AD14" i="6"/>
  <c r="AN6" i="6" l="1"/>
  <c r="AN18" i="6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6" i="6" s="1"/>
  <c r="AS3" i="6"/>
  <c r="AS9" i="6"/>
  <c r="AS10" i="6" s="1"/>
  <c r="AS11" i="6"/>
  <c r="AS17" i="6"/>
  <c r="AS18" i="6" s="1"/>
  <c r="U7" i="6"/>
  <c r="V4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0" i="6" s="1"/>
  <c r="BK11" i="6"/>
  <c r="BK17" i="6"/>
  <c r="BK18" i="6" s="1"/>
  <c r="AM7" i="6"/>
  <c r="AN4" i="6"/>
  <c r="BB12" i="6"/>
  <c r="BA14" i="6"/>
  <c r="AN7" i="6" l="1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BW12" i="6"/>
  <c r="BV14" i="6"/>
  <c r="CF6" i="6" l="1"/>
  <c r="BJ4" i="6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Q12" i="6"/>
  <c r="CP14" i="6"/>
  <c r="CZ6" i="6" l="1"/>
  <c r="DB1" i="6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U10" i="6" s="1"/>
  <c r="DT5" i="6"/>
  <c r="DT6" i="6" s="1"/>
  <c r="CW7" i="6"/>
  <c r="CX4" i="6"/>
  <c r="DL12" i="6"/>
  <c r="DK14" i="6"/>
  <c r="CX7" i="6" l="1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CZ4" i="6"/>
  <c r="CY7" i="6"/>
  <c r="DM14" i="6"/>
  <c r="DN12" i="6"/>
  <c r="DW6" i="6" l="1"/>
  <c r="DW10" i="6"/>
  <c r="DA4" i="6"/>
  <c r="CZ7" i="6"/>
  <c r="DY1" i="6"/>
  <c r="DX9" i="6"/>
  <c r="DX3" i="6"/>
  <c r="DX5" i="6"/>
  <c r="DX6" i="6" s="1"/>
  <c r="DX11" i="6"/>
  <c r="DX17" i="6"/>
  <c r="DX18" i="6" s="1"/>
  <c r="DO12" i="6"/>
  <c r="DN14" i="6"/>
  <c r="DX10" i="6" l="1"/>
  <c r="DZ1" i="6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DU12" i="6"/>
  <c r="DT14" i="6"/>
  <c r="ED10" i="6" l="1"/>
  <c r="EF1" i="6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DQ4" i="6"/>
  <c r="DP7" i="6"/>
  <c r="EE12" i="6"/>
  <c r="ED14" i="6"/>
  <c r="EN10" i="6" l="1"/>
  <c r="DR4" i="6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EG4" i="6"/>
  <c r="EF7" i="6"/>
  <c r="FC17" i="6"/>
  <c r="FC18" i="6" s="1"/>
  <c r="FC11" i="6"/>
  <c r="FC9" i="6"/>
  <c r="FC10" i="6" s="1"/>
  <c r="EU12" i="6"/>
  <c r="ET14" i="6"/>
  <c r="FD6" i="6" l="1"/>
  <c r="EG7" i="6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L12" i="6"/>
  <c r="FK14" i="6"/>
  <c r="FU6" i="6" l="1"/>
  <c r="EX7" i="6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V3" i="6"/>
  <c r="FZ4" i="6"/>
  <c r="FY7" i="6"/>
  <c r="GN12" i="6"/>
  <c r="GM14" i="6"/>
  <c r="GW6" i="6" l="1"/>
  <c r="GA4" i="6"/>
  <c r="FZ7" i="6"/>
  <c r="GY1" i="6"/>
  <c r="GX3" i="6"/>
  <c r="GX5" i="6"/>
  <c r="GX6" i="6" s="1"/>
  <c r="GX9" i="6"/>
  <c r="GX10" i="6" s="1"/>
  <c r="GX11" i="6"/>
  <c r="GX17" i="6"/>
  <c r="GX18" i="6" s="1"/>
  <c r="GW3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GY12" i="6"/>
  <c r="GX14" i="6"/>
  <c r="HH6" i="6" l="1"/>
  <c r="HH10" i="6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U18" i="6"/>
  <c r="HM12" i="6"/>
  <c r="HL14" i="6"/>
  <c r="HV6" i="6" l="1"/>
  <c r="HV18" i="6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II6" i="6" s="1"/>
  <c r="HL4" i="6"/>
  <c r="HK7" i="6"/>
  <c r="HZ12" i="6"/>
  <c r="HY14" i="6"/>
  <c r="HM4" i="6" l="1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D17" i="6" s="1"/>
  <c r="C17" i="6" s="1"/>
  <c r="JW12" i="6"/>
  <c r="JV14" i="6"/>
  <c r="D11" i="6" l="1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<sst xmlns="http://schemas.openxmlformats.org/spreadsheetml/2006/main" count="963" uniqueCount="563">
  <si>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</si>
  <si>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</si>
  <si>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</si>
  <si>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</si>
  <si>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</si>
  <si>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</si>
  <si>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</si>
  <si>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</si>
  <si>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</si>
  <si>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</si>
  <si>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</si>
  <si>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</si>
  <si>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</si>
  <si>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</si>
  <si>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</si>
  <si>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</si>
  <si>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</si>
  <si>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</si>
  <si>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</si>
  <si>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</si>
  <si>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</si>
  <si>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</si>
  <si>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</si>
  <si>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</si>
  <si>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</si>
  <si>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</si>
  <si>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</si>
  <si>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</si>
  <si>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</si>
  <si>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</si>
  <si>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</si>
  <si>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</si>
  <si>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</si>
  <si>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</si>
  <si>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</si>
  <si>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</si>
  <si>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</si>
  <si>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</si>
  <si>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</si>
  <si>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</si>
  <si>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</si>
  <si>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</si>
  <si>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</si>
  <si>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</si>
  <si>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</si>
  <si>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</si>
  <si>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</si>
  <si>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</si>
  <si>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</si>
  <si>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</si>
  <si>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</si>
  <si>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</si>
  <si>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</si>
  <si>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</si>
  <si>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</si>
  <si>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</si>
  <si>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</si>
  <si>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</si>
  <si>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</si>
  <si>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</si>
  <si>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</si>
  <si>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</si>
  <si>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</si>
  <si>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</si>
  <si>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</si>
  <si>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</si>
  <si>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</si>
  <si>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</si>
  <si>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</si>
  <si>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</si>
  <si>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</si>
  <si>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</si>
  <si>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</si>
  <si>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</si>
  <si>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</si>
  <si>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</si>
  <si>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</si>
  <si>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</si>
  <si>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</si>
  <si>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</si>
  <si>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</si>
  <si>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</si>
  <si>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</si>
  <si>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</si>
  <si>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</si>
  <si>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</si>
  <si>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</si>
  <si>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</si>
  <si>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</si>
  <si>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</si>
  <si>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</si>
  <si>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</si>
  <si>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</si>
  <si>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</si>
  <si>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</si>
  <si>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</si>
  <si>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</si>
  <si>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</si>
  <si>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</si>
  <si>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</si>
  <si>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</si>
  <si>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</si>
  <si>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</si>
  <si>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</si>
  <si>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</si>
  <si>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</si>
  <si>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</si>
  <si>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</si>
  <si>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</si>
  <si>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</si>
  <si>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</si>
  <si>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</si>
  <si>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</si>
  <si>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</si>
  <si>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</si>
  <si>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</si>
  <si>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</si>
  <si>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</si>
  <si>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</si>
  <si>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</si>
  <si>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</si>
  <si>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</si>
  <si>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</si>
  <si>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</si>
  <si>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</si>
  <si>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</si>
  <si>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</si>
  <si>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</si>
  <si>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</si>
  <si>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</si>
  <si>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</si>
  <si>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Greenway to only send file tomorrow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</si>
  <si>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</si>
  <si>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</si>
  <si>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</si>
  <si>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</si>
  <si>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</si>
  <si>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</si>
  <si>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</si>
  <si>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</si>
  <si>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</si>
  <si>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</si>
  <si>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</si>
  <si>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</si>
  <si>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</si>
  <si>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</si>
  <si>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</si>
  <si>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</si>
  <si>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</si>
  <si>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</si>
  <si>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</si>
  <si>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</si>
  <si>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</si>
  <si>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</si>
  <si>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</si>
  <si>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</si>
  <si>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</si>
  <si>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</si>
  <si>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</si>
  <si>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</si>
  <si>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</si>
  <si>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</si>
  <si>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</si>
  <si>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</si>
  <si>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</si>
  <si>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</si>
  <si>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</si>
  <si>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</si>
  <si>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</si>
  <si>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</si>
  <si>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</si>
  <si>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</si>
  <si>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</si>
  <si>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</si>
  <si>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</si>
  <si>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</si>
  <si>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</si>
  <si>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</si>
  <si>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</si>
  <si>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</si>
  <si>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7.3</t>
  </si>
  <si>
    <t>Blue-Log Commissioning</t>
  </si>
  <si>
    <t>in progress</t>
  </si>
  <si>
    <t>Project Closure (Final Completion - JBCC)</t>
  </si>
  <si>
    <t>8.1</t>
  </si>
  <si>
    <t>Handover documentation</t>
  </si>
  <si>
    <t>8.2</t>
  </si>
  <si>
    <t>Handover to Client</t>
  </si>
  <si>
    <t>8.3</t>
  </si>
  <si>
    <t>Handover to Matriarch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</si>
  <si>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</si>
  <si>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</si>
  <si>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</si>
  <si>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</si>
  <si>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</si>
  <si>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</si>
  <si>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</si>
  <si>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</si>
  <si>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</si>
  <si>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</si>
  <si>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</si>
  <si>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</si>
  <si>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</si>
  <si>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</si>
  <si>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</si>
  <si>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</si>
  <si>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</si>
  <si>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</si>
  <si>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</si>
  <si>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</si>
  <si>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</si>
  <si>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</si>
  <si>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</si>
  <si>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</si>
  <si>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</si>
  <si>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</si>
  <si>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</si>
  <si>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</si>
  <si>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</si>
  <si>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</si>
  <si>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</si>
  <si>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</si>
  <si>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</si>
  <si>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</si>
  <si>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</si>
  <si>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</si>
  <si>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</si>
  <si>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</si>
  <si>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</si>
  <si>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</si>
  <si>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</si>
  <si>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</si>
  <si>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</si>
  <si>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</si>
  <si>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</si>
  <si>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</si>
  <si>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</si>
  <si>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</si>
  <si>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</si>
  <si>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</si>
  <si>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</si>
  <si>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</si>
  <si>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</si>
  <si>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</si>
  <si>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</si>
  <si>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</si>
  <si>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</si>
  <si>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</si>
  <si>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</si>
  <si>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</si>
  <si>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</si>
  <si>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</si>
  <si>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</si>
  <si>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</si>
  <si>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</si>
  <si>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</si>
  <si>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</si>
  <si>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</si>
  <si>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</si>
  <si>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</si>
  <si>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</si>
  <si>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</si>
  <si>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</si>
  <si>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</si>
  <si>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</si>
  <si>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</si>
  <si>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</si>
  <si>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</si>
  <si>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</si>
  <si>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</si>
  <si>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</si>
  <si>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</si>
  <si>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</si>
  <si>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</si>
  <si>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</si>
  <si>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</si>
  <si>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</si>
  <si>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</si>
  <si>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</si>
  <si>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</si>
  <si>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</si>
  <si>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</si>
  <si>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</si>
  <si>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</si>
  <si>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</si>
  <si>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</si>
  <si>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</si>
  <si>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</si>
  <si>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</si>
  <si>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</si>
  <si>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</si>
  <si>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</si>
  <si>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</si>
  <si>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</si>
  <si>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</si>
  <si>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</si>
  <si>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</si>
  <si>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</si>
  <si>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</si>
  <si>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</si>
  <si>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</si>
  <si>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</si>
  <si>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</si>
  <si>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</si>
  <si>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</si>
  <si>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</si>
  <si>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</si>
  <si>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</si>
  <si>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</si>
  <si>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</si>
  <si>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</si>
  <si>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</si>
  <si>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</si>
  <si>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</si>
  <si>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</si>
  <si>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</si>
  <si>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</si>
  <si>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</si>
  <si>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</si>
  <si>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</si>
  <si>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</si>
  <si>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</si>
  <si>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</si>
  <si>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</si>
  <si>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</si>
  <si>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</si>
  <si>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</si>
  <si>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</si>
  <si>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</si>
  <si>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</si>
  <si>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</si>
  <si>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</si>
  <si>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Less 15%</t>
  </si>
  <si>
    <t>R/Wp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</si>
  <si>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</si>
  <si>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</si>
  <si>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</si>
  <si>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</si>
  <si>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</si>
  <si>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</si>
  <si>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</si>
  <si>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</si>
  <si>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</si>
  <si>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Allocated to Joburg Storeroom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</si>
  <si>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</si>
  <si>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</si>
  <si>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</si>
  <si>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</si>
  <si>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</si>
  <si>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</si>
  <si>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</si>
  <si>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</si>
  <si>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</si>
  <si>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</si>
  <si>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</si>
  <si>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</si>
  <si>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</si>
  <si>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</si>
  <si>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</si>
  <si>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</si>
  <si>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</si>
  <si>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</si>
  <si>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</si>
  <si>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</si>
  <si>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</si>
  <si>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</si>
  <si>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</si>
  <si>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</si>
  <si>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</si>
  <si>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</si>
  <si>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</si>
  <si>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</si>
  <si>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</si>
  <si>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</si>
  <si>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</si>
  <si>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</si>
  <si>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</si>
  <si>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</si>
  <si>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</si>
  <si>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</si>
  <si>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</si>
  <si>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</si>
  <si>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</si>
  <si>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</si>
  <si>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</si>
  <si>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</si>
  <si>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</si>
  <si>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</si>
  <si>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</si>
  <si>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</si>
  <si>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</si>
  <si>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</si>
  <si>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</si>
  <si>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</si>
  <si>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</si>
  <si>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</si>
  <si>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</si>
  <si>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</si>
  <si>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</si>
  <si>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</si>
  <si>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</si>
  <si>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</si>
  <si>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</si>
  <si>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</si>
  <si>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</si>
  <si>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</si>
  <si>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</si>
  <si>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</si>
  <si>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</si>
  <si>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</si>
  <si>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</si>
  <si>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</si>
  <si>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</si>
  <si>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</si>
  <si>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</si>
  <si>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</si>
  <si>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</si>
  <si>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</si>
  <si>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</si>
  <si>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</si>
  <si>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Enclosure Modification</t>
  </si>
  <si>
    <t>PO4583-MBE-20260127 - RV Approved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</si>
  <si>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</si>
  <si>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</si>
  <si>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</si>
  <si>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</si>
  <si>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</si>
  <si>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</si>
  <si>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</si>
  <si>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</si>
  <si>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</si>
  <si>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</si>
  <si>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</si>
  <si>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</si>
  <si>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</si>
  <si>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</si>
  <si>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</si>
  <si>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</si>
  <si>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</si>
  <si>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</si>
  <si>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</si>
  <si>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</si>
  <si>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</si>
  <si>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</si>
  <si>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</si>
  <si>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</si>
  <si>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</si>
  <si>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</si>
  <si>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</si>
  <si>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</si>
  <si>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</si>
  <si>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</si>
  <si>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</si>
  <si>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</si>
  <si>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</si>
  <si>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</si>
  <si>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</si>
  <si>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Safety Officer</t>
  </si>
  <si>
    <t>PO4422-MBE-20251029 - RV Approved</t>
  </si>
  <si>
    <t>WAGMA - INV-000001</t>
  </si>
  <si>
    <t>WAGMA - INV-000010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</si>
  <si>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</si>
  <si>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</si>
  <si>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</si>
  <si>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</si>
  <si>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</si>
  <si>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</si>
  <si>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</si>
  <si>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</si>
  <si>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</si>
  <si>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</si>
  <si>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</si>
  <si>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</si>
  <si>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</si>
  <si>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</si>
  <si>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</si>
  <si>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</si>
  <si>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</si>
  <si>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</si>
  <si>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</si>
  <si>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</si>
  <si>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</si>
  <si>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</si>
  <si>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</si>
  <si>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</si>
  <si>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</si>
  <si>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</si>
  <si>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</si>
  <si>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</si>
  <si>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</si>
  <si>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</si>
  <si>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</si>
  <si>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</si>
  <si>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</si>
  <si>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</si>
  <si>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</si>
  <si>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</si>
  <si>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</si>
  <si>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</si>
  <si>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</si>
  <si>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</si>
  <si>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</si>
  <si>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</si>
  <si>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</si>
  <si>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</si>
  <si>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</si>
  <si>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</si>
  <si>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</si>
  <si>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</si>
  <si>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</si>
  <si>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</si>
  <si>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</si>
  <si>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</si>
  <si>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</si>
  <si>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</si>
  <si>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</si>
  <si>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</si>
  <si>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</si>
  <si>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</si>
  <si>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</si>
  <si>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</si>
  <si>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</si>
  <si>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</si>
  <si>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</si>
  <si>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</si>
  <si>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</si>
  <si>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</si>
  <si>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</si>
  <si>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</si>
  <si>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</si>
  <si>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</si>
  <si>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</si>
  <si>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</si>
  <si>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</si>
  <si>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</si>
  <si>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</si>
  <si>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</si>
  <si>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</si>
  <si>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</si>
  <si>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</si>
  <si>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</si>
  <si>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</si>
  <si>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</si>
  <si>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</si>
  <si>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</si>
  <si>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</si>
  <si>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</si>
  <si>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</si>
  <si>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</si>
  <si>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</si>
  <si>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</si>
  <si>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</si>
  <si>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</si>
  <si>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</si>
  <si>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</si>
  <si>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</si>
  <si>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</si>
  <si>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</si>
  <si>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</si>
  <si>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</si>
  <si>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</si>
  <si>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</si>
  <si>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WAGMA - INV-000023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</si>
</sst>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9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1" fontId="23" fillId="0" borderId="2" xfId="0" applyNumberFormat="1" applyFont="1" applyBorder="1" applyAlignment="1" applyProtection="1">
      <alignment horizontal="center" vertical="center"/>
      <protection locked="0"/>
    </xf>
    <xf numFmtId="166" fontId="5" fillId="0" borderId="0" xfId="0" applyNumberFormat="1" applyFont="1" applyProtection="1">
      <protection locked="0"/>
    </xf>
    <xf numFmtId="166" fontId="5" fillId="5" borderId="0" xfId="0" applyNumberFormat="1" applyFont="1" applyFill="1" applyProtection="1">
      <protection locked="0"/>
    </xf>
    <xf numFmtId="165" fontId="8" fillId="5" borderId="0" xfId="0" applyNumberFormat="1" applyFont="1" applyFill="1" applyProtection="1">
      <protection locked="0"/>
    </xf>
    <xf numFmtId="167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67" fontId="5" fillId="5" borderId="0" xfId="3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4" borderId="0" xfId="0" applyNumberFormat="1" applyFont="1" applyFill="1" applyProtection="1">
      <protection locked="0"/>
    </xf>
    <xf numFmtId="167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44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44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8" fontId="18" fillId="5" borderId="0" xfId="0" applyNumberFormat="1" applyFont="1" applyFill="1" applyProtection="1">
      <protection locked="0"/>
    </xf>
    <xf numFmtId="167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7" fontId="0" fillId="0" borderId="15" xfId="0" applyNumberFormat="1" applyBorder="1"/>
    <xf numFmtId="44" fontId="0" fillId="0" borderId="0" xfId="0" applyNumberFormat="1"/>
    <xf numFmtId="44" fontId="0" fillId="0" borderId="15" xfId="0" applyNumberFormat="1" applyBorder="1"/>
    <xf numFmtId="167" fontId="0" fillId="0" borderId="2" xfId="3" applyFont="1" applyFill="1" applyBorder="1"/>
    <xf numFmtId="167" fontId="0" fillId="0" borderId="32" xfId="3" applyFont="1" applyFill="1" applyBorder="1"/>
    <xf numFmtId="0" fontId="49" fillId="0" borderId="2" xfId="0" applyFont="1" applyBorder="1"/>
    <xf numFmtId="167" fontId="49" fillId="0" borderId="2" xfId="3" applyFont="1" applyBorder="1"/>
    <xf numFmtId="167" fontId="49" fillId="0" borderId="32" xfId="3" applyFont="1" applyBorder="1"/>
    <xf numFmtId="8" fontId="0" fillId="0" borderId="0" xfId="0" applyNumberFormat="1"/>
    <xf numFmtId="0" fontId="49" fillId="0" borderId="0" xfId="0" applyFont="1"/>
    <xf numFmtId="0" fontId="0" fillId="0" borderId="26" xfId="0" applyBorder="1"/>
    <xf numFmtId="167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7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7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8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8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8" fontId="47" fillId="8" borderId="26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7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4" fillId="9" borderId="85" xfId="0" applyFont="1" applyFill="1" applyBorder="1" applyAlignment="1" applyProtection="1">
      <alignment vertic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76</c:v>
                  </c:pt>
                  <c:pt idx="8">
                    <c:v>88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2757361.0594958337</c:v>
                </c:pt>
                <c:pt idx="24">
                  <c:v>2757361.0594958337</c:v>
                </c:pt>
                <c:pt idx="25">
                  <c:v>2757361.0594958337</c:v>
                </c:pt>
                <c:pt idx="26">
                  <c:v>2757361.0594958337</c:v>
                </c:pt>
                <c:pt idx="27">
                  <c:v>2757361.0594958337</c:v>
                </c:pt>
                <c:pt idx="28">
                  <c:v>2757361.0594958337</c:v>
                </c:pt>
                <c:pt idx="29">
                  <c:v>2757361.0594958337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2820054.9194958336</c:v>
                </c:pt>
                <c:pt idx="37">
                  <c:v>2820054.9194958336</c:v>
                </c:pt>
                <c:pt idx="38">
                  <c:v>2820054.9194958336</c:v>
                </c:pt>
                <c:pt idx="39">
                  <c:v>2820054.9194958336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2554298.4660000005</c:v>
                </c:pt>
                <c:pt idx="23">
                  <c:v>2585071.4660000005</c:v>
                </c:pt>
                <c:pt idx="24">
                  <c:v>2585071.4660000005</c:v>
                </c:pt>
                <c:pt idx="25">
                  <c:v>2674096.6775000007</c:v>
                </c:pt>
                <c:pt idx="26">
                  <c:v>2677596.6775000007</c:v>
                </c:pt>
                <c:pt idx="27">
                  <c:v>2677596.6775000007</c:v>
                </c:pt>
                <c:pt idx="28">
                  <c:v>2677596.6775000007</c:v>
                </c:pt>
                <c:pt idx="29">
                  <c:v>2677596.6775000007</c:v>
                </c:pt>
                <c:pt idx="30">
                  <c:v>2677596.6775000007</c:v>
                </c:pt>
                <c:pt idx="31">
                  <c:v>2677596.6775000007</c:v>
                </c:pt>
                <c:pt idx="32">
                  <c:v>2677596.6775000007</c:v>
                </c:pt>
                <c:pt idx="33">
                  <c:v>2677596.6775000007</c:v>
                </c:pt>
                <c:pt idx="34">
                  <c:v>2677596.6775000007</c:v>
                </c:pt>
                <c:pt idx="35">
                  <c:v>2677596.6775000007</c:v>
                </c:pt>
                <c:pt idx="36">
                  <c:v>2677596.6775000007</c:v>
                </c:pt>
                <c:pt idx="37">
                  <c:v>2677596.6775000007</c:v>
                </c:pt>
                <c:pt idx="38">
                  <c:v>2677596.6775000007</c:v>
                </c:pt>
                <c:pt idx="39">
                  <c:v>2677596.6775000007</c:v>
                </c:pt>
                <c:pt idx="40">
                  <c:v>2677596.6775000007</c:v>
                </c:pt>
                <c:pt idx="41">
                  <c:v>2677596.6775000007</c:v>
                </c:pt>
                <c:pt idx="42">
                  <c:v>2677596.6775000007</c:v>
                </c:pt>
                <c:pt idx="43">
                  <c:v>2677596.6775000007</c:v>
                </c:pt>
                <c:pt idx="44">
                  <c:v>2677596.6775000007</c:v>
                </c:pt>
                <c:pt idx="45">
                  <c:v>2677596.6775000007</c:v>
                </c:pt>
                <c:pt idx="46">
                  <c:v>2677596.6775000007</c:v>
                </c:pt>
                <c:pt idx="47">
                  <c:v>2677596.6775000007</c:v>
                </c:pt>
                <c:pt idx="48">
                  <c:v>2677596.6775000007</c:v>
                </c:pt>
                <c:pt idx="49">
                  <c:v>2677596.6775000007</c:v>
                </c:pt>
                <c:pt idx="50">
                  <c:v>2677596.6775000007</c:v>
                </c:pt>
                <c:pt idx="51">
                  <c:v>2677596.6775000007</c:v>
                </c:pt>
                <c:pt idx="52">
                  <c:v>2677596.6775000007</c:v>
                </c:pt>
                <c:pt idx="53">
                  <c:v>2677596.6775000007</c:v>
                </c:pt>
                <c:pt idx="54">
                  <c:v>2677596.6775000007</c:v>
                </c:pt>
                <c:pt idx="55">
                  <c:v>2677596.6775000007</c:v>
                </c:pt>
                <c:pt idx="56">
                  <c:v>2677596.6775000007</c:v>
                </c:pt>
                <c:pt idx="57">
                  <c:v>2677596.6775000007</c:v>
                </c:pt>
                <c:pt idx="58">
                  <c:v>2677596.6775000007</c:v>
                </c:pt>
                <c:pt idx="59">
                  <c:v>2677596.6775000007</c:v>
                </c:pt>
                <c:pt idx="60">
                  <c:v>2677596.6775000007</c:v>
                </c:pt>
                <c:pt idx="61">
                  <c:v>2677596.6775000007</c:v>
                </c:pt>
                <c:pt idx="62">
                  <c:v>2677596.6775000007</c:v>
                </c:pt>
                <c:pt idx="63">
                  <c:v>2677596.6775000007</c:v>
                </c:pt>
                <c:pt idx="64">
                  <c:v>2677596.6775000007</c:v>
                </c:pt>
                <c:pt idx="65">
                  <c:v>2677596.6775000007</c:v>
                </c:pt>
                <c:pt idx="66">
                  <c:v>2677596.6775000007</c:v>
                </c:pt>
                <c:pt idx="67">
                  <c:v>2677596.6775000007</c:v>
                </c:pt>
                <c:pt idx="68">
                  <c:v>2677596.6775000007</c:v>
                </c:pt>
                <c:pt idx="69">
                  <c:v>2677596.6775000007</c:v>
                </c:pt>
                <c:pt idx="70">
                  <c:v>2677596.6775000007</c:v>
                </c:pt>
                <c:pt idx="71">
                  <c:v>2677596.6775000007</c:v>
                </c:pt>
                <c:pt idx="72">
                  <c:v>2677596.6775000007</c:v>
                </c:pt>
                <c:pt idx="73">
                  <c:v>2677596.6775000007</c:v>
                </c:pt>
                <c:pt idx="74">
                  <c:v>2677596.6775000007</c:v>
                </c:pt>
                <c:pt idx="75">
                  <c:v>2677596.6775000007</c:v>
                </c:pt>
                <c:pt idx="76">
                  <c:v>2677596.6775000007</c:v>
                </c:pt>
                <c:pt idx="77">
                  <c:v>2677596.6775000007</c:v>
                </c:pt>
                <c:pt idx="78">
                  <c:v>2677596.6775000007</c:v>
                </c:pt>
                <c:pt idx="79">
                  <c:v>2677596.6775000007</c:v>
                </c:pt>
                <c:pt idx="80">
                  <c:v>2677596.6775000007</c:v>
                </c:pt>
                <c:pt idx="81">
                  <c:v>2677596.6775000007</c:v>
                </c:pt>
                <c:pt idx="82">
                  <c:v>2677596.6775000007</c:v>
                </c:pt>
                <c:pt idx="83">
                  <c:v>2677596.6775000007</c:v>
                </c:pt>
                <c:pt idx="84">
                  <c:v>2677596.6775000007</c:v>
                </c:pt>
                <c:pt idx="85">
                  <c:v>2677596.6775000007</c:v>
                </c:pt>
                <c:pt idx="86">
                  <c:v>2677596.6775000007</c:v>
                </c:pt>
                <c:pt idx="87">
                  <c:v>2677596.6775000007</c:v>
                </c:pt>
                <c:pt idx="88">
                  <c:v>2677596.6775000007</c:v>
                </c:pt>
                <c:pt idx="89">
                  <c:v>2677596.6775000007</c:v>
                </c:pt>
                <c:pt idx="90">
                  <c:v>2677596.6775000007</c:v>
                </c:pt>
                <c:pt idx="91">
                  <c:v>2677596.6775000007</c:v>
                </c:pt>
                <c:pt idx="92">
                  <c:v>2677596.6775000007</c:v>
                </c:pt>
                <c:pt idx="93">
                  <c:v>2677596.6775000007</c:v>
                </c:pt>
                <c:pt idx="94">
                  <c:v>2677596.6775000007</c:v>
                </c:pt>
                <c:pt idx="95">
                  <c:v>2677596.6775000007</c:v>
                </c:pt>
                <c:pt idx="96">
                  <c:v>2677596.6775000007</c:v>
                </c:pt>
                <c:pt idx="97">
                  <c:v>2677596.6775000007</c:v>
                </c:pt>
                <c:pt idx="98">
                  <c:v>2677596.6775000007</c:v>
                </c:pt>
                <c:pt idx="99">
                  <c:v>2677596.6775000007</c:v>
                </c:pt>
                <c:pt idx="100">
                  <c:v>2677596.6775000007</c:v>
                </c:pt>
                <c:pt idx="101">
                  <c:v>2677596.6775000007</c:v>
                </c:pt>
                <c:pt idx="102">
                  <c:v>2677596.6775000007</c:v>
                </c:pt>
                <c:pt idx="103">
                  <c:v>2677596.6775000007</c:v>
                </c:pt>
                <c:pt idx="104">
                  <c:v>2677596.6775000007</c:v>
                </c:pt>
                <c:pt idx="105">
                  <c:v>2677596.6775000007</c:v>
                </c:pt>
                <c:pt idx="106">
                  <c:v>2677596.6775000007</c:v>
                </c:pt>
                <c:pt idx="107">
                  <c:v>2677596.6775000007</c:v>
                </c:pt>
                <c:pt idx="108">
                  <c:v>2677596.6775000007</c:v>
                </c:pt>
                <c:pt idx="109">
                  <c:v>2677596.6775000007</c:v>
                </c:pt>
                <c:pt idx="110">
                  <c:v>2677596.6775000007</c:v>
                </c:pt>
                <c:pt idx="111">
                  <c:v>2677596.6775000007</c:v>
                </c:pt>
                <c:pt idx="112">
                  <c:v>2677596.6775000007</c:v>
                </c:pt>
                <c:pt idx="113">
                  <c:v>2677596.6775000007</c:v>
                </c:pt>
                <c:pt idx="114">
                  <c:v>2677596.6775000007</c:v>
                </c:pt>
                <c:pt idx="115">
                  <c:v>2677596.6775000007</c:v>
                </c:pt>
                <c:pt idx="116">
                  <c:v>2677596.6775000007</c:v>
                </c:pt>
                <c:pt idx="117">
                  <c:v>2677596.6775000007</c:v>
                </c:pt>
                <c:pt idx="118">
                  <c:v>2677596.6775000007</c:v>
                </c:pt>
                <c:pt idx="119">
                  <c:v>2677596.6775000007</c:v>
                </c:pt>
                <c:pt idx="120">
                  <c:v>2677596.6775000007</c:v>
                </c:pt>
                <c:pt idx="121">
                  <c:v>2677596.6775000007</c:v>
                </c:pt>
                <c:pt idx="122">
                  <c:v>2677596.6775000007</c:v>
                </c:pt>
                <c:pt idx="123">
                  <c:v>2677596.6775000007</c:v>
                </c:pt>
                <c:pt idx="124">
                  <c:v>2677596.6775000007</c:v>
                </c:pt>
                <c:pt idx="125">
                  <c:v>2677596.6775000007</c:v>
                </c:pt>
                <c:pt idx="126">
                  <c:v>2677596.6775000007</c:v>
                </c:pt>
                <c:pt idx="127">
                  <c:v>2677596.6775000007</c:v>
                </c:pt>
                <c:pt idx="128">
                  <c:v>2677596.6775000007</c:v>
                </c:pt>
                <c:pt idx="129">
                  <c:v>2677596.6775000007</c:v>
                </c:pt>
                <c:pt idx="130">
                  <c:v>2677596.6775000007</c:v>
                </c:pt>
                <c:pt idx="131">
                  <c:v>2677596.6775000007</c:v>
                </c:pt>
                <c:pt idx="132">
                  <c:v>2677596.6775000007</c:v>
                </c:pt>
                <c:pt idx="133">
                  <c:v>2677596.6775000007</c:v>
                </c:pt>
                <c:pt idx="134">
                  <c:v>2677596.6775000007</c:v>
                </c:pt>
                <c:pt idx="135">
                  <c:v>2677596.6775000007</c:v>
                </c:pt>
                <c:pt idx="136">
                  <c:v>2677596.6775000007</c:v>
                </c:pt>
                <c:pt idx="137">
                  <c:v>2677596.6775000007</c:v>
                </c:pt>
                <c:pt idx="138">
                  <c:v>2677596.6775000007</c:v>
                </c:pt>
                <c:pt idx="139">
                  <c:v>2677596.6775000007</c:v>
                </c:pt>
                <c:pt idx="140">
                  <c:v>2677596.6775000007</c:v>
                </c:pt>
                <c:pt idx="141">
                  <c:v>2677596.6775000007</c:v>
                </c:pt>
                <c:pt idx="142">
                  <c:v>2677596.6775000007</c:v>
                </c:pt>
                <c:pt idx="143">
                  <c:v>2677596.6775000007</c:v>
                </c:pt>
                <c:pt idx="144">
                  <c:v>2677596.6775000007</c:v>
                </c:pt>
                <c:pt idx="145">
                  <c:v>2677596.6775000007</c:v>
                </c:pt>
                <c:pt idx="146">
                  <c:v>2677596.6775000007</c:v>
                </c:pt>
                <c:pt idx="147">
                  <c:v>2677596.6775000007</c:v>
                </c:pt>
                <c:pt idx="148">
                  <c:v>2677596.6775000007</c:v>
                </c:pt>
                <c:pt idx="149">
                  <c:v>2677596.6775000007</c:v>
                </c:pt>
                <c:pt idx="150">
                  <c:v>2677596.6775000007</c:v>
                </c:pt>
                <c:pt idx="151">
                  <c:v>2677596.6775000007</c:v>
                </c:pt>
                <c:pt idx="152">
                  <c:v>2677596.6775000007</c:v>
                </c:pt>
                <c:pt idx="153">
                  <c:v>2677596.6775000007</c:v>
                </c:pt>
                <c:pt idx="154">
                  <c:v>2677596.6775000007</c:v>
                </c:pt>
                <c:pt idx="155">
                  <c:v>2677596.6775000007</c:v>
                </c:pt>
                <c:pt idx="156">
                  <c:v>2677596.6775000007</c:v>
                </c:pt>
                <c:pt idx="157">
                  <c:v>2677596.6775000007</c:v>
                </c:pt>
                <c:pt idx="158">
                  <c:v>2677596.6775000007</c:v>
                </c:pt>
                <c:pt idx="159">
                  <c:v>2677596.6775000007</c:v>
                </c:pt>
                <c:pt idx="160">
                  <c:v>2677596.6775000007</c:v>
                </c:pt>
                <c:pt idx="161">
                  <c:v>2677596.6775000007</c:v>
                </c:pt>
                <c:pt idx="162">
                  <c:v>2677596.6775000007</c:v>
                </c:pt>
                <c:pt idx="163">
                  <c:v>2677596.6775000007</c:v>
                </c:pt>
                <c:pt idx="164">
                  <c:v>2677596.6775000007</c:v>
                </c:pt>
                <c:pt idx="165">
                  <c:v>2677596.6775000007</c:v>
                </c:pt>
                <c:pt idx="166">
                  <c:v>2677596.6775000007</c:v>
                </c:pt>
                <c:pt idx="167">
                  <c:v>2677596.6775000007</c:v>
                </c:pt>
                <c:pt idx="168">
                  <c:v>2677596.6775000007</c:v>
                </c:pt>
                <c:pt idx="169">
                  <c:v>2677596.6775000007</c:v>
                </c:pt>
                <c:pt idx="170">
                  <c:v>2677596.6775000007</c:v>
                </c:pt>
                <c:pt idx="171">
                  <c:v>2677596.6775000007</c:v>
                </c:pt>
                <c:pt idx="172">
                  <c:v>2677596.6775000007</c:v>
                </c:pt>
                <c:pt idx="173">
                  <c:v>2677596.6775000007</c:v>
                </c:pt>
                <c:pt idx="174">
                  <c:v>2677596.6775000007</c:v>
                </c:pt>
                <c:pt idx="175">
                  <c:v>2677596.6775000007</c:v>
                </c:pt>
                <c:pt idx="176">
                  <c:v>2677596.6775000007</c:v>
                </c:pt>
                <c:pt idx="177">
                  <c:v>2677596.6775000007</c:v>
                </c:pt>
                <c:pt idx="178">
                  <c:v>2677596.6775000007</c:v>
                </c:pt>
                <c:pt idx="179">
                  <c:v>2677596.6775000007</c:v>
                </c:pt>
                <c:pt idx="180">
                  <c:v>2677596.6775000007</c:v>
                </c:pt>
                <c:pt idx="181">
                  <c:v>2677596.6775000007</c:v>
                </c:pt>
                <c:pt idx="182">
                  <c:v>2677596.6775000007</c:v>
                </c:pt>
                <c:pt idx="183">
                  <c:v>2677596.6775000007</c:v>
                </c:pt>
                <c:pt idx="184">
                  <c:v>2677596.6775000007</c:v>
                </c:pt>
                <c:pt idx="185">
                  <c:v>2677596.6775000007</c:v>
                </c:pt>
                <c:pt idx="186">
                  <c:v>2677596.6775000007</c:v>
                </c:pt>
                <c:pt idx="187">
                  <c:v>2677596.6775000007</c:v>
                </c:pt>
                <c:pt idx="188">
                  <c:v>2677596.6775000007</c:v>
                </c:pt>
                <c:pt idx="189">
                  <c:v>2677596.6775000007</c:v>
                </c:pt>
                <c:pt idx="190">
                  <c:v>2677596.6775000007</c:v>
                </c:pt>
                <c:pt idx="191">
                  <c:v>2677596.6775000007</c:v>
                </c:pt>
                <c:pt idx="192">
                  <c:v>2677596.6775000007</c:v>
                </c:pt>
                <c:pt idx="193">
                  <c:v>2677596.6775000007</c:v>
                </c:pt>
                <c:pt idx="194">
                  <c:v>2677596.6775000007</c:v>
                </c:pt>
                <c:pt idx="195">
                  <c:v>2677596.6775000007</c:v>
                </c:pt>
                <c:pt idx="196">
                  <c:v>2677596.6775000007</c:v>
                </c:pt>
                <c:pt idx="197">
                  <c:v>2677596.6775000007</c:v>
                </c:pt>
                <c:pt idx="198">
                  <c:v>2677596.6775000007</c:v>
                </c:pt>
                <c:pt idx="199">
                  <c:v>2677596.6775000007</c:v>
                </c:pt>
                <c:pt idx="200">
                  <c:v>2677596.6775000007</c:v>
                </c:pt>
                <c:pt idx="201">
                  <c:v>2677596.6775000007</c:v>
                </c:pt>
                <c:pt idx="202">
                  <c:v>2677596.6775000007</c:v>
                </c:pt>
                <c:pt idx="203">
                  <c:v>2677596.6775000007</c:v>
                </c:pt>
                <c:pt idx="204">
                  <c:v>2677596.6775000007</c:v>
                </c:pt>
                <c:pt idx="205">
                  <c:v>2677596.6775000007</c:v>
                </c:pt>
                <c:pt idx="206">
                  <c:v>2677596.6775000007</c:v>
                </c:pt>
                <c:pt idx="207">
                  <c:v>2677596.6775000007</c:v>
                </c:pt>
                <c:pt idx="208">
                  <c:v>2677596.6775000007</c:v>
                </c:pt>
                <c:pt idx="209">
                  <c:v>2677596.6775000007</c:v>
                </c:pt>
                <c:pt idx="210">
                  <c:v>2677596.6775000007</c:v>
                </c:pt>
                <c:pt idx="211">
                  <c:v>2677596.6775000007</c:v>
                </c:pt>
                <c:pt idx="212">
                  <c:v>2677596.6775000007</c:v>
                </c:pt>
                <c:pt idx="213">
                  <c:v>2677596.6775000007</c:v>
                </c:pt>
                <c:pt idx="214">
                  <c:v>2677596.6775000007</c:v>
                </c:pt>
                <c:pt idx="215">
                  <c:v>2677596.6775000007</c:v>
                </c:pt>
                <c:pt idx="216">
                  <c:v>2677596.6775000007</c:v>
                </c:pt>
                <c:pt idx="217">
                  <c:v>2677596.6775000007</c:v>
                </c:pt>
                <c:pt idx="218">
                  <c:v>2677596.6775000007</c:v>
                </c:pt>
                <c:pt idx="219">
                  <c:v>2677596.6775000007</c:v>
                </c:pt>
                <c:pt idx="220">
                  <c:v>2677596.6775000007</c:v>
                </c:pt>
                <c:pt idx="221">
                  <c:v>2677596.6775000007</c:v>
                </c:pt>
                <c:pt idx="222">
                  <c:v>2677596.6775000007</c:v>
                </c:pt>
                <c:pt idx="223">
                  <c:v>2677596.6775000007</c:v>
                </c:pt>
                <c:pt idx="224">
                  <c:v>2677596.6775000007</c:v>
                </c:pt>
                <c:pt idx="225">
                  <c:v>2677596.6775000007</c:v>
                </c:pt>
                <c:pt idx="226">
                  <c:v>2677596.6775000007</c:v>
                </c:pt>
                <c:pt idx="227">
                  <c:v>2677596.6775000007</c:v>
                </c:pt>
                <c:pt idx="228">
                  <c:v>2677596.6775000007</c:v>
                </c:pt>
                <c:pt idx="229">
                  <c:v>2677596.6775000007</c:v>
                </c:pt>
                <c:pt idx="230">
                  <c:v>2677596.6775000007</c:v>
                </c:pt>
                <c:pt idx="231">
                  <c:v>2677596.6775000007</c:v>
                </c:pt>
                <c:pt idx="232">
                  <c:v>2677596.6775000007</c:v>
                </c:pt>
                <c:pt idx="233">
                  <c:v>2677596.6775000007</c:v>
                </c:pt>
                <c:pt idx="234">
                  <c:v>2677596.6775000007</c:v>
                </c:pt>
                <c:pt idx="235">
                  <c:v>2677596.6775000007</c:v>
                </c:pt>
                <c:pt idx="236">
                  <c:v>2677596.6775000007</c:v>
                </c:pt>
                <c:pt idx="237">
                  <c:v>2677596.6775000007</c:v>
                </c:pt>
                <c:pt idx="238">
                  <c:v>2677596.6775000007</c:v>
                </c:pt>
                <c:pt idx="239">
                  <c:v>2677596.6775000007</c:v>
                </c:pt>
                <c:pt idx="240">
                  <c:v>2677596.6775000007</c:v>
                </c:pt>
                <c:pt idx="241">
                  <c:v>2677596.6775000007</c:v>
                </c:pt>
                <c:pt idx="242">
                  <c:v>2677596.6775000007</c:v>
                </c:pt>
                <c:pt idx="243">
                  <c:v>2677596.6775000007</c:v>
                </c:pt>
                <c:pt idx="244">
                  <c:v>2677596.6775000007</c:v>
                </c:pt>
                <c:pt idx="245">
                  <c:v>2677596.6775000007</c:v>
                </c:pt>
                <c:pt idx="246">
                  <c:v>2677596.6775000007</c:v>
                </c:pt>
                <c:pt idx="247">
                  <c:v>2677596.6775000007</c:v>
                </c:pt>
                <c:pt idx="248">
                  <c:v>2677596.6775000007</c:v>
                </c:pt>
                <c:pt idx="249">
                  <c:v>2677596.6775000007</c:v>
                </c:pt>
                <c:pt idx="250">
                  <c:v>2677596.6775000007</c:v>
                </c:pt>
                <c:pt idx="251">
                  <c:v>2677596.6775000007</c:v>
                </c:pt>
                <c:pt idx="252">
                  <c:v>2677596.6775000007</c:v>
                </c:pt>
                <c:pt idx="253">
                  <c:v>2677596.6775000007</c:v>
                </c:pt>
                <c:pt idx="254">
                  <c:v>2677596.6775000007</c:v>
                </c:pt>
                <c:pt idx="255">
                  <c:v>2677596.6775000007</c:v>
                </c:pt>
                <c:pt idx="256">
                  <c:v>2677596.6775000007</c:v>
                </c:pt>
                <c:pt idx="257">
                  <c:v>2677596.6775000007</c:v>
                </c:pt>
                <c:pt idx="258">
                  <c:v>2677596.6775000007</c:v>
                </c:pt>
                <c:pt idx="259">
                  <c:v>2677596.6775000007</c:v>
                </c:pt>
                <c:pt idx="260">
                  <c:v>2677596.6775000007</c:v>
                </c:pt>
                <c:pt idx="261">
                  <c:v>2677596.6775000007</c:v>
                </c:pt>
                <c:pt idx="262">
                  <c:v>2677596.6775000007</c:v>
                </c:pt>
                <c:pt idx="263">
                  <c:v>2677596.6775000007</c:v>
                </c:pt>
                <c:pt idx="264">
                  <c:v>2677596.6775000007</c:v>
                </c:pt>
                <c:pt idx="265">
                  <c:v>2677596.6775000007</c:v>
                </c:pt>
                <c:pt idx="266">
                  <c:v>2677596.6775000007</c:v>
                </c:pt>
                <c:pt idx="267">
                  <c:v>2677596.6775000007</c:v>
                </c:pt>
                <c:pt idx="268">
                  <c:v>2677596.6775000007</c:v>
                </c:pt>
                <c:pt idx="269">
                  <c:v>2677596.6775000007</c:v>
                </c:pt>
                <c:pt idx="270">
                  <c:v>2677596.6775000007</c:v>
                </c:pt>
                <c:pt idx="271">
                  <c:v>2677596.6775000007</c:v>
                </c:pt>
                <c:pt idx="272">
                  <c:v>2677596.6775000007</c:v>
                </c:pt>
                <c:pt idx="273">
                  <c:v>2677596.6775000007</c:v>
                </c:pt>
                <c:pt idx="274">
                  <c:v>2677596.6775000007</c:v>
                </c:pt>
                <c:pt idx="275">
                  <c:v>2677596.6775000007</c:v>
                </c:pt>
                <c:pt idx="276">
                  <c:v>2677596.6775000007</c:v>
                </c:pt>
                <c:pt idx="277">
                  <c:v>2677596.6775000007</c:v>
                </c:pt>
                <c:pt idx="278">
                  <c:v>2677596.6775000007</c:v>
                </c:pt>
                <c:pt idx="279">
                  <c:v>2677596.6775000007</c:v>
                </c:pt>
                <c:pt idx="280">
                  <c:v>2677596.6775000007</c:v>
                </c:pt>
                <c:pt idx="281">
                  <c:v>2677596.6775000007</c:v>
                </c:pt>
                <c:pt idx="282">
                  <c:v>2677596.6775000007</c:v>
                </c:pt>
                <c:pt idx="283">
                  <c:v>2677596.6775000007</c:v>
                </c:pt>
                <c:pt idx="284">
                  <c:v>2677596.6775000007</c:v>
                </c:pt>
                <c:pt idx="285">
                  <c:v>2677596.6775000007</c:v>
                </c:pt>
                <c:pt idx="286">
                  <c:v>2677596.6775000007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-109237.91650416655</c:v>
                </c:pt>
                <c:pt idx="23">
                  <c:v>172289.59349583322</c:v>
                </c:pt>
                <c:pt idx="24">
                  <c:v>172289.59349583322</c:v>
                </c:pt>
                <c:pt idx="25">
                  <c:v>83264.381995833013</c:v>
                </c:pt>
                <c:pt idx="26">
                  <c:v>79764.381995833013</c:v>
                </c:pt>
                <c:pt idx="27">
                  <c:v>79764.381995833013</c:v>
                </c:pt>
                <c:pt idx="28">
                  <c:v>79764.381995833013</c:v>
                </c:pt>
                <c:pt idx="29">
                  <c:v>79764.381995833013</c:v>
                </c:pt>
                <c:pt idx="30">
                  <c:v>79764.381995833013</c:v>
                </c:pt>
                <c:pt idx="31">
                  <c:v>79764.381995833013</c:v>
                </c:pt>
                <c:pt idx="32">
                  <c:v>79764.381995833013</c:v>
                </c:pt>
                <c:pt idx="33">
                  <c:v>79764.381995833013</c:v>
                </c:pt>
                <c:pt idx="34">
                  <c:v>79764.381995833013</c:v>
                </c:pt>
                <c:pt idx="35">
                  <c:v>79764.381995833013</c:v>
                </c:pt>
                <c:pt idx="36">
                  <c:v>142458.24199583288</c:v>
                </c:pt>
                <c:pt idx="37">
                  <c:v>142458.24199583288</c:v>
                </c:pt>
                <c:pt idx="38">
                  <c:v>142458.24199583288</c:v>
                </c:pt>
                <c:pt idx="39">
                  <c:v>142458.24199583288</c:v>
                </c:pt>
                <c:pt idx="40">
                  <c:v>142458.24199583288</c:v>
                </c:pt>
                <c:pt idx="41">
                  <c:v>142458.24199583288</c:v>
                </c:pt>
                <c:pt idx="42">
                  <c:v>142458.24199583288</c:v>
                </c:pt>
                <c:pt idx="43">
                  <c:v>142458.24199583288</c:v>
                </c:pt>
                <c:pt idx="44">
                  <c:v>142458.24199583288</c:v>
                </c:pt>
                <c:pt idx="45">
                  <c:v>142458.24199583288</c:v>
                </c:pt>
                <c:pt idx="46">
                  <c:v>142458.24199583288</c:v>
                </c:pt>
                <c:pt idx="47">
                  <c:v>142458.24199583288</c:v>
                </c:pt>
                <c:pt idx="48">
                  <c:v>142458.24199583288</c:v>
                </c:pt>
                <c:pt idx="49">
                  <c:v>142458.24199583288</c:v>
                </c:pt>
                <c:pt idx="50">
                  <c:v>142458.24199583288</c:v>
                </c:pt>
                <c:pt idx="51">
                  <c:v>142458.24199583288</c:v>
                </c:pt>
                <c:pt idx="52">
                  <c:v>142458.24199583288</c:v>
                </c:pt>
                <c:pt idx="53">
                  <c:v>142458.24199583288</c:v>
                </c:pt>
                <c:pt idx="54">
                  <c:v>142458.24199583288</c:v>
                </c:pt>
                <c:pt idx="55">
                  <c:v>142458.24199583288</c:v>
                </c:pt>
                <c:pt idx="56">
                  <c:v>142458.24199583288</c:v>
                </c:pt>
                <c:pt idx="57">
                  <c:v>142458.24199583288</c:v>
                </c:pt>
                <c:pt idx="58">
                  <c:v>142458.24199583288</c:v>
                </c:pt>
                <c:pt idx="59">
                  <c:v>142458.24199583288</c:v>
                </c:pt>
                <c:pt idx="60">
                  <c:v>142458.24199583288</c:v>
                </c:pt>
                <c:pt idx="61">
                  <c:v>142458.24199583288</c:v>
                </c:pt>
                <c:pt idx="62">
                  <c:v>142458.24199583288</c:v>
                </c:pt>
                <c:pt idx="63">
                  <c:v>142458.24199583288</c:v>
                </c:pt>
                <c:pt idx="64">
                  <c:v>142458.24199583288</c:v>
                </c:pt>
                <c:pt idx="65">
                  <c:v>142458.24199583288</c:v>
                </c:pt>
                <c:pt idx="66">
                  <c:v>142458.24199583288</c:v>
                </c:pt>
                <c:pt idx="67">
                  <c:v>142458.24199583288</c:v>
                </c:pt>
                <c:pt idx="68">
                  <c:v>142458.24199583288</c:v>
                </c:pt>
                <c:pt idx="69">
                  <c:v>142458.24199583288</c:v>
                </c:pt>
                <c:pt idx="70">
                  <c:v>142458.24199583288</c:v>
                </c:pt>
                <c:pt idx="71">
                  <c:v>142458.24199583288</c:v>
                </c:pt>
                <c:pt idx="72">
                  <c:v>142458.24199583288</c:v>
                </c:pt>
                <c:pt idx="73">
                  <c:v>142458.24199583288</c:v>
                </c:pt>
                <c:pt idx="74">
                  <c:v>142458.24199583288</c:v>
                </c:pt>
                <c:pt idx="75">
                  <c:v>142458.24199583288</c:v>
                </c:pt>
                <c:pt idx="76">
                  <c:v>142458.24199583288</c:v>
                </c:pt>
                <c:pt idx="77">
                  <c:v>142458.24199583288</c:v>
                </c:pt>
                <c:pt idx="78">
                  <c:v>142458.24199583288</c:v>
                </c:pt>
                <c:pt idx="79">
                  <c:v>142458.24199583288</c:v>
                </c:pt>
                <c:pt idx="80">
                  <c:v>142458.24199583288</c:v>
                </c:pt>
                <c:pt idx="81">
                  <c:v>142458.24199583288</c:v>
                </c:pt>
                <c:pt idx="82">
                  <c:v>142458.24199583288</c:v>
                </c:pt>
                <c:pt idx="83">
                  <c:v>142458.24199583288</c:v>
                </c:pt>
                <c:pt idx="84">
                  <c:v>142458.24199583288</c:v>
                </c:pt>
                <c:pt idx="85">
                  <c:v>142458.24199583288</c:v>
                </c:pt>
                <c:pt idx="86">
                  <c:v>142458.24199583288</c:v>
                </c:pt>
                <c:pt idx="87">
                  <c:v>142458.24199583288</c:v>
                </c:pt>
                <c:pt idx="88">
                  <c:v>142458.24199583288</c:v>
                </c:pt>
                <c:pt idx="89">
                  <c:v>142458.24199583288</c:v>
                </c:pt>
                <c:pt idx="90">
                  <c:v>142458.24199583288</c:v>
                </c:pt>
                <c:pt idx="91">
                  <c:v>142458.24199583288</c:v>
                </c:pt>
                <c:pt idx="92">
                  <c:v>142458.24199583288</c:v>
                </c:pt>
                <c:pt idx="93">
                  <c:v>142458.24199583288</c:v>
                </c:pt>
                <c:pt idx="94">
                  <c:v>142458.24199583288</c:v>
                </c:pt>
                <c:pt idx="95">
                  <c:v>142458.24199583288</c:v>
                </c:pt>
                <c:pt idx="96">
                  <c:v>142458.24199583288</c:v>
                </c:pt>
                <c:pt idx="97">
                  <c:v>142458.24199583288</c:v>
                </c:pt>
                <c:pt idx="98">
                  <c:v>142458.24199583288</c:v>
                </c:pt>
                <c:pt idx="99">
                  <c:v>142458.24199583288</c:v>
                </c:pt>
                <c:pt idx="100">
                  <c:v>142458.24199583288</c:v>
                </c:pt>
                <c:pt idx="101">
                  <c:v>142458.24199583288</c:v>
                </c:pt>
                <c:pt idx="102">
                  <c:v>142458.24199583288</c:v>
                </c:pt>
                <c:pt idx="103">
                  <c:v>142458.24199583288</c:v>
                </c:pt>
                <c:pt idx="104">
                  <c:v>142458.24199583288</c:v>
                </c:pt>
                <c:pt idx="105">
                  <c:v>142458.24199583288</c:v>
                </c:pt>
                <c:pt idx="106">
                  <c:v>142458.24199583288</c:v>
                </c:pt>
                <c:pt idx="107">
                  <c:v>142458.24199583288</c:v>
                </c:pt>
                <c:pt idx="108">
                  <c:v>142458.24199583288</c:v>
                </c:pt>
                <c:pt idx="109">
                  <c:v>142458.24199583288</c:v>
                </c:pt>
                <c:pt idx="110">
                  <c:v>142458.24199583288</c:v>
                </c:pt>
                <c:pt idx="111">
                  <c:v>142458.24199583288</c:v>
                </c:pt>
                <c:pt idx="112">
                  <c:v>142458.24199583288</c:v>
                </c:pt>
                <c:pt idx="113">
                  <c:v>142458.24199583288</c:v>
                </c:pt>
                <c:pt idx="114">
                  <c:v>142458.24199583288</c:v>
                </c:pt>
                <c:pt idx="115">
                  <c:v>142458.24199583288</c:v>
                </c:pt>
                <c:pt idx="116">
                  <c:v>142458.24199583288</c:v>
                </c:pt>
                <c:pt idx="117">
                  <c:v>142458.24199583288</c:v>
                </c:pt>
                <c:pt idx="118">
                  <c:v>142458.24199583288</c:v>
                </c:pt>
                <c:pt idx="119">
                  <c:v>142458.24199583288</c:v>
                </c:pt>
                <c:pt idx="120">
                  <c:v>142458.24199583288</c:v>
                </c:pt>
                <c:pt idx="121">
                  <c:v>142458.24199583288</c:v>
                </c:pt>
                <c:pt idx="122">
                  <c:v>142458.24199583288</c:v>
                </c:pt>
                <c:pt idx="123">
                  <c:v>142458.24199583288</c:v>
                </c:pt>
                <c:pt idx="124">
                  <c:v>142458.24199583288</c:v>
                </c:pt>
                <c:pt idx="125">
                  <c:v>142458.24199583288</c:v>
                </c:pt>
                <c:pt idx="126">
                  <c:v>142458.24199583288</c:v>
                </c:pt>
                <c:pt idx="127">
                  <c:v>142458.24199583288</c:v>
                </c:pt>
                <c:pt idx="128">
                  <c:v>142458.24199583288</c:v>
                </c:pt>
                <c:pt idx="129">
                  <c:v>142458.24199583288</c:v>
                </c:pt>
                <c:pt idx="130">
                  <c:v>142458.24199583288</c:v>
                </c:pt>
                <c:pt idx="131">
                  <c:v>142458.24199583288</c:v>
                </c:pt>
                <c:pt idx="132">
                  <c:v>142458.24199583288</c:v>
                </c:pt>
                <c:pt idx="133">
                  <c:v>142458.24199583288</c:v>
                </c:pt>
                <c:pt idx="134">
                  <c:v>142458.24199583288</c:v>
                </c:pt>
                <c:pt idx="135">
                  <c:v>142458.24199583288</c:v>
                </c:pt>
                <c:pt idx="136">
                  <c:v>142458.24199583288</c:v>
                </c:pt>
                <c:pt idx="137">
                  <c:v>142458.24199583288</c:v>
                </c:pt>
                <c:pt idx="138">
                  <c:v>142458.24199583288</c:v>
                </c:pt>
                <c:pt idx="139">
                  <c:v>142458.24199583288</c:v>
                </c:pt>
                <c:pt idx="140">
                  <c:v>142458.24199583288</c:v>
                </c:pt>
                <c:pt idx="141">
                  <c:v>142458.24199583288</c:v>
                </c:pt>
                <c:pt idx="142">
                  <c:v>142458.24199583288</c:v>
                </c:pt>
                <c:pt idx="143">
                  <c:v>142458.24199583288</c:v>
                </c:pt>
                <c:pt idx="144">
                  <c:v>142458.24199583288</c:v>
                </c:pt>
                <c:pt idx="145">
                  <c:v>142458.24199583288</c:v>
                </c:pt>
                <c:pt idx="146">
                  <c:v>142458.24199583288</c:v>
                </c:pt>
                <c:pt idx="147">
                  <c:v>142458.24199583288</c:v>
                </c:pt>
                <c:pt idx="148">
                  <c:v>142458.24199583288</c:v>
                </c:pt>
                <c:pt idx="149">
                  <c:v>142458.24199583288</c:v>
                </c:pt>
                <c:pt idx="150">
                  <c:v>142458.24199583288</c:v>
                </c:pt>
                <c:pt idx="151">
                  <c:v>142458.24199583288</c:v>
                </c:pt>
                <c:pt idx="152">
                  <c:v>142458.24199583288</c:v>
                </c:pt>
                <c:pt idx="153">
                  <c:v>142458.24199583288</c:v>
                </c:pt>
                <c:pt idx="154">
                  <c:v>142458.24199583288</c:v>
                </c:pt>
                <c:pt idx="155">
                  <c:v>142458.24199583288</c:v>
                </c:pt>
                <c:pt idx="156">
                  <c:v>142458.24199583288</c:v>
                </c:pt>
                <c:pt idx="157">
                  <c:v>142458.24199583288</c:v>
                </c:pt>
                <c:pt idx="158">
                  <c:v>142458.24199583288</c:v>
                </c:pt>
                <c:pt idx="159">
                  <c:v>142458.24199583288</c:v>
                </c:pt>
                <c:pt idx="160">
                  <c:v>142458.24199583288</c:v>
                </c:pt>
                <c:pt idx="161">
                  <c:v>142458.24199583288</c:v>
                </c:pt>
                <c:pt idx="162">
                  <c:v>142458.24199583288</c:v>
                </c:pt>
                <c:pt idx="163">
                  <c:v>142458.24199583288</c:v>
                </c:pt>
                <c:pt idx="164">
                  <c:v>142458.24199583288</c:v>
                </c:pt>
                <c:pt idx="165">
                  <c:v>142458.24199583288</c:v>
                </c:pt>
                <c:pt idx="166">
                  <c:v>142458.24199583288</c:v>
                </c:pt>
                <c:pt idx="167">
                  <c:v>142458.24199583288</c:v>
                </c:pt>
                <c:pt idx="168">
                  <c:v>142458.24199583288</c:v>
                </c:pt>
                <c:pt idx="169">
                  <c:v>142458.24199583288</c:v>
                </c:pt>
                <c:pt idx="170">
                  <c:v>142458.24199583288</c:v>
                </c:pt>
                <c:pt idx="171">
                  <c:v>142458.24199583288</c:v>
                </c:pt>
                <c:pt idx="172">
                  <c:v>142458.24199583288</c:v>
                </c:pt>
                <c:pt idx="173">
                  <c:v>142458.24199583288</c:v>
                </c:pt>
                <c:pt idx="174">
                  <c:v>142458.24199583288</c:v>
                </c:pt>
                <c:pt idx="175">
                  <c:v>142458.24199583288</c:v>
                </c:pt>
                <c:pt idx="176">
                  <c:v>142458.24199583288</c:v>
                </c:pt>
                <c:pt idx="177">
                  <c:v>142458.24199583288</c:v>
                </c:pt>
                <c:pt idx="178">
                  <c:v>142458.24199583288</c:v>
                </c:pt>
                <c:pt idx="179">
                  <c:v>142458.24199583288</c:v>
                </c:pt>
                <c:pt idx="180">
                  <c:v>142458.24199583288</c:v>
                </c:pt>
                <c:pt idx="181">
                  <c:v>142458.24199583288</c:v>
                </c:pt>
                <c:pt idx="182">
                  <c:v>142458.24199583288</c:v>
                </c:pt>
                <c:pt idx="183">
                  <c:v>142458.24199583288</c:v>
                </c:pt>
                <c:pt idx="184">
                  <c:v>142458.24199583288</c:v>
                </c:pt>
                <c:pt idx="185">
                  <c:v>142458.24199583288</c:v>
                </c:pt>
                <c:pt idx="186">
                  <c:v>142458.24199583288</c:v>
                </c:pt>
                <c:pt idx="187">
                  <c:v>142458.24199583288</c:v>
                </c:pt>
                <c:pt idx="188">
                  <c:v>142458.24199583288</c:v>
                </c:pt>
                <c:pt idx="189">
                  <c:v>142458.24199583288</c:v>
                </c:pt>
                <c:pt idx="190">
                  <c:v>142458.24199583288</c:v>
                </c:pt>
                <c:pt idx="191">
                  <c:v>142458.24199583288</c:v>
                </c:pt>
                <c:pt idx="192">
                  <c:v>142458.24199583288</c:v>
                </c:pt>
                <c:pt idx="193">
                  <c:v>142458.24199583288</c:v>
                </c:pt>
                <c:pt idx="194">
                  <c:v>142458.24199583288</c:v>
                </c:pt>
                <c:pt idx="195">
                  <c:v>142458.24199583288</c:v>
                </c:pt>
                <c:pt idx="196">
                  <c:v>142458.24199583288</c:v>
                </c:pt>
                <c:pt idx="197">
                  <c:v>142458.24199583288</c:v>
                </c:pt>
                <c:pt idx="198">
                  <c:v>142458.24199583288</c:v>
                </c:pt>
                <c:pt idx="199">
                  <c:v>142458.24199583288</c:v>
                </c:pt>
                <c:pt idx="200">
                  <c:v>142458.24199583288</c:v>
                </c:pt>
                <c:pt idx="201">
                  <c:v>142458.24199583288</c:v>
                </c:pt>
                <c:pt idx="202">
                  <c:v>142458.24199583288</c:v>
                </c:pt>
                <c:pt idx="203">
                  <c:v>142458.24199583288</c:v>
                </c:pt>
                <c:pt idx="204">
                  <c:v>142458.24199583288</c:v>
                </c:pt>
                <c:pt idx="205">
                  <c:v>142458.24199583288</c:v>
                </c:pt>
                <c:pt idx="206">
                  <c:v>142458.24199583288</c:v>
                </c:pt>
                <c:pt idx="207">
                  <c:v>142458.24199583288</c:v>
                </c:pt>
                <c:pt idx="208">
                  <c:v>142458.24199583288</c:v>
                </c:pt>
                <c:pt idx="209">
                  <c:v>142458.24199583288</c:v>
                </c:pt>
                <c:pt idx="210">
                  <c:v>142458.24199583288</c:v>
                </c:pt>
                <c:pt idx="211">
                  <c:v>142458.24199583288</c:v>
                </c:pt>
                <c:pt idx="212">
                  <c:v>142458.24199583288</c:v>
                </c:pt>
                <c:pt idx="213">
                  <c:v>142458.24199583288</c:v>
                </c:pt>
                <c:pt idx="214">
                  <c:v>142458.24199583288</c:v>
                </c:pt>
                <c:pt idx="215">
                  <c:v>142458.24199583288</c:v>
                </c:pt>
                <c:pt idx="216">
                  <c:v>142458.24199583288</c:v>
                </c:pt>
                <c:pt idx="217">
                  <c:v>142458.24199583288</c:v>
                </c:pt>
                <c:pt idx="218">
                  <c:v>142458.24199583288</c:v>
                </c:pt>
                <c:pt idx="219">
                  <c:v>142458.24199583288</c:v>
                </c:pt>
                <c:pt idx="220">
                  <c:v>142458.24199583288</c:v>
                </c:pt>
                <c:pt idx="221">
                  <c:v>142458.24199583288</c:v>
                </c:pt>
                <c:pt idx="222">
                  <c:v>142458.24199583288</c:v>
                </c:pt>
                <c:pt idx="223">
                  <c:v>142458.24199583288</c:v>
                </c:pt>
                <c:pt idx="224">
                  <c:v>142458.24199583288</c:v>
                </c:pt>
                <c:pt idx="225">
                  <c:v>142458.24199583288</c:v>
                </c:pt>
                <c:pt idx="226">
                  <c:v>142458.24199583288</c:v>
                </c:pt>
                <c:pt idx="227">
                  <c:v>142458.24199583288</c:v>
                </c:pt>
                <c:pt idx="228">
                  <c:v>142458.24199583288</c:v>
                </c:pt>
                <c:pt idx="229">
                  <c:v>142458.24199583288</c:v>
                </c:pt>
                <c:pt idx="230">
                  <c:v>142458.24199583288</c:v>
                </c:pt>
                <c:pt idx="231">
                  <c:v>142458.24199583288</c:v>
                </c:pt>
                <c:pt idx="232">
                  <c:v>142458.24199583288</c:v>
                </c:pt>
                <c:pt idx="233">
                  <c:v>142458.24199583288</c:v>
                </c:pt>
                <c:pt idx="234">
                  <c:v>142458.24199583288</c:v>
                </c:pt>
                <c:pt idx="235">
                  <c:v>142458.24199583288</c:v>
                </c:pt>
                <c:pt idx="236">
                  <c:v>142458.24199583288</c:v>
                </c:pt>
                <c:pt idx="237">
                  <c:v>142458.24199583288</c:v>
                </c:pt>
                <c:pt idx="238">
                  <c:v>142458.24199583288</c:v>
                </c:pt>
                <c:pt idx="239">
                  <c:v>142458.24199583288</c:v>
                </c:pt>
                <c:pt idx="240">
                  <c:v>142458.24199583288</c:v>
                </c:pt>
                <c:pt idx="241">
                  <c:v>142458.24199583288</c:v>
                </c:pt>
                <c:pt idx="242">
                  <c:v>142458.24199583288</c:v>
                </c:pt>
                <c:pt idx="243">
                  <c:v>142458.24199583288</c:v>
                </c:pt>
                <c:pt idx="244">
                  <c:v>142458.24199583288</c:v>
                </c:pt>
                <c:pt idx="245">
                  <c:v>142458.24199583288</c:v>
                </c:pt>
                <c:pt idx="246">
                  <c:v>142458.24199583288</c:v>
                </c:pt>
                <c:pt idx="247">
                  <c:v>142458.24199583288</c:v>
                </c:pt>
                <c:pt idx="248">
                  <c:v>142458.24199583288</c:v>
                </c:pt>
                <c:pt idx="249">
                  <c:v>142458.24199583288</c:v>
                </c:pt>
                <c:pt idx="250">
                  <c:v>142458.24199583288</c:v>
                </c:pt>
                <c:pt idx="251">
                  <c:v>142458.24199583288</c:v>
                </c:pt>
                <c:pt idx="252">
                  <c:v>142458.24199583288</c:v>
                </c:pt>
                <c:pt idx="253">
                  <c:v>142458.24199583288</c:v>
                </c:pt>
                <c:pt idx="254">
                  <c:v>142458.24199583288</c:v>
                </c:pt>
                <c:pt idx="255">
                  <c:v>142458.24199583288</c:v>
                </c:pt>
                <c:pt idx="256">
                  <c:v>142458.24199583288</c:v>
                </c:pt>
                <c:pt idx="257">
                  <c:v>142458.24199583288</c:v>
                </c:pt>
                <c:pt idx="258">
                  <c:v>142458.24199583288</c:v>
                </c:pt>
                <c:pt idx="259">
                  <c:v>142458.24199583288</c:v>
                </c:pt>
                <c:pt idx="260">
                  <c:v>142458.24199583288</c:v>
                </c:pt>
                <c:pt idx="261">
                  <c:v>142458.24199583288</c:v>
                </c:pt>
                <c:pt idx="262">
                  <c:v>142458.24199583288</c:v>
                </c:pt>
                <c:pt idx="263">
                  <c:v>142458.24199583288</c:v>
                </c:pt>
                <c:pt idx="264">
                  <c:v>142458.24199583288</c:v>
                </c:pt>
                <c:pt idx="265">
                  <c:v>142458.24199583288</c:v>
                </c:pt>
                <c:pt idx="266">
                  <c:v>142458.24199583288</c:v>
                </c:pt>
                <c:pt idx="267">
                  <c:v>142458.24199583288</c:v>
                </c:pt>
                <c:pt idx="268">
                  <c:v>142458.24199583288</c:v>
                </c:pt>
                <c:pt idx="269">
                  <c:v>142458.24199583288</c:v>
                </c:pt>
                <c:pt idx="270">
                  <c:v>142458.24199583288</c:v>
                </c:pt>
                <c:pt idx="271">
                  <c:v>142458.24199583288</c:v>
                </c:pt>
                <c:pt idx="272">
                  <c:v>142458.24199583288</c:v>
                </c:pt>
                <c:pt idx="273">
                  <c:v>142458.24199583288</c:v>
                </c:pt>
                <c:pt idx="274">
                  <c:v>142458.24199583288</c:v>
                </c:pt>
                <c:pt idx="275">
                  <c:v>142458.24199583288</c:v>
                </c:pt>
                <c:pt idx="276">
                  <c:v>142458.24199583288</c:v>
                </c:pt>
                <c:pt idx="277">
                  <c:v>142458.24199583288</c:v>
                </c:pt>
                <c:pt idx="278">
                  <c:v>142458.24199583288</c:v>
                </c:pt>
                <c:pt idx="279">
                  <c:v>142458.24199583288</c:v>
                </c:pt>
                <c:pt idx="280">
                  <c:v>142458.24199583288</c:v>
                </c:pt>
                <c:pt idx="281">
                  <c:v>142458.24199583288</c:v>
                </c:pt>
                <c:pt idx="282">
                  <c:v>142458.24199583288</c:v>
                </c:pt>
                <c:pt idx="283">
                  <c:v>142458.24199583288</c:v>
                </c:pt>
                <c:pt idx="284">
                  <c:v>142458.24199583288</c:v>
                </c:pt>
                <c:pt idx="285">
                  <c:v>142458.24199583288</c:v>
                </c:pt>
                <c:pt idx="286">
                  <c:v>142458.24199583288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2727994.4233701387</c:v>
                </c:pt>
                <c:pt idx="22">
                  <c:v>2727994.4233701387</c:v>
                </c:pt>
                <c:pt idx="23">
                  <c:v>2727994.4233701387</c:v>
                </c:pt>
                <c:pt idx="24">
                  <c:v>2727994.4233701387</c:v>
                </c:pt>
                <c:pt idx="25">
                  <c:v>2792653.9759772802</c:v>
                </c:pt>
                <c:pt idx="26">
                  <c:v>2792653.9759772802</c:v>
                </c:pt>
                <c:pt idx="27">
                  <c:v>2792653.9759772802</c:v>
                </c:pt>
                <c:pt idx="28">
                  <c:v>2792653.9759772802</c:v>
                </c:pt>
                <c:pt idx="29">
                  <c:v>2792653.9759772802</c:v>
                </c:pt>
                <c:pt idx="30">
                  <c:v>2792653.9759772802</c:v>
                </c:pt>
                <c:pt idx="31">
                  <c:v>2792653.9759772802</c:v>
                </c:pt>
                <c:pt idx="32">
                  <c:v>2792653.9759772802</c:v>
                </c:pt>
                <c:pt idx="33">
                  <c:v>2792653.9759772802</c:v>
                </c:pt>
                <c:pt idx="34">
                  <c:v>2792653.9759772802</c:v>
                </c:pt>
                <c:pt idx="35">
                  <c:v>2792653.9759772802</c:v>
                </c:pt>
                <c:pt idx="36">
                  <c:v>2792653.9759772802</c:v>
                </c:pt>
                <c:pt idx="37">
                  <c:v>2792653.9759772802</c:v>
                </c:pt>
                <c:pt idx="38">
                  <c:v>2792653.9759772802</c:v>
                </c:pt>
                <c:pt idx="39">
                  <c:v>2792653.9759772802</c:v>
                </c:pt>
                <c:pt idx="40">
                  <c:v>2792653.9759772802</c:v>
                </c:pt>
                <c:pt idx="41">
                  <c:v>2792653.9759772802</c:v>
                </c:pt>
                <c:pt idx="42">
                  <c:v>2792653.9759772802</c:v>
                </c:pt>
                <c:pt idx="43">
                  <c:v>2792653.9759772802</c:v>
                </c:pt>
                <c:pt idx="44">
                  <c:v>2792653.9759772802</c:v>
                </c:pt>
                <c:pt idx="45">
                  <c:v>2792653.9759772802</c:v>
                </c:pt>
                <c:pt idx="46">
                  <c:v>2792653.9759772802</c:v>
                </c:pt>
                <c:pt idx="47">
                  <c:v>2792653.9759772802</c:v>
                </c:pt>
                <c:pt idx="48">
                  <c:v>2792653.9759772802</c:v>
                </c:pt>
                <c:pt idx="49">
                  <c:v>2792653.9759772802</c:v>
                </c:pt>
                <c:pt idx="50">
                  <c:v>2792653.9759772802</c:v>
                </c:pt>
                <c:pt idx="51">
                  <c:v>2792653.9759772802</c:v>
                </c:pt>
                <c:pt idx="52">
                  <c:v>2792653.9759772802</c:v>
                </c:pt>
                <c:pt idx="53">
                  <c:v>2792653.9759772802</c:v>
                </c:pt>
                <c:pt idx="54">
                  <c:v>2792653.9759772802</c:v>
                </c:pt>
                <c:pt idx="55">
                  <c:v>2792653.9759772802</c:v>
                </c:pt>
                <c:pt idx="56">
                  <c:v>2792653.9759772802</c:v>
                </c:pt>
                <c:pt idx="57">
                  <c:v>2792653.9759772802</c:v>
                </c:pt>
                <c:pt idx="58">
                  <c:v>2792653.9759772802</c:v>
                </c:pt>
                <c:pt idx="59">
                  <c:v>2792653.9759772802</c:v>
                </c:pt>
                <c:pt idx="60">
                  <c:v>2792653.9759772802</c:v>
                </c:pt>
                <c:pt idx="61">
                  <c:v>2792653.9759772802</c:v>
                </c:pt>
                <c:pt idx="62">
                  <c:v>2792653.9759772802</c:v>
                </c:pt>
                <c:pt idx="63">
                  <c:v>2792653.9759772802</c:v>
                </c:pt>
                <c:pt idx="64">
                  <c:v>2792653.9759772802</c:v>
                </c:pt>
                <c:pt idx="65">
                  <c:v>2792653.9759772802</c:v>
                </c:pt>
                <c:pt idx="66">
                  <c:v>2792653.9759772802</c:v>
                </c:pt>
                <c:pt idx="67">
                  <c:v>2792653.9759772802</c:v>
                </c:pt>
                <c:pt idx="68">
                  <c:v>2792653.9759772802</c:v>
                </c:pt>
                <c:pt idx="69">
                  <c:v>2792653.9759772802</c:v>
                </c:pt>
                <c:pt idx="70">
                  <c:v>2792653.9759772802</c:v>
                </c:pt>
                <c:pt idx="71">
                  <c:v>2792653.9759772802</c:v>
                </c:pt>
                <c:pt idx="72">
                  <c:v>2792653.9759772802</c:v>
                </c:pt>
                <c:pt idx="73">
                  <c:v>2792653.9759772802</c:v>
                </c:pt>
                <c:pt idx="74">
                  <c:v>2792653.9759772802</c:v>
                </c:pt>
                <c:pt idx="75">
                  <c:v>2792653.9759772802</c:v>
                </c:pt>
                <c:pt idx="76">
                  <c:v>2792653.9759772802</c:v>
                </c:pt>
                <c:pt idx="77">
                  <c:v>2792653.9759772802</c:v>
                </c:pt>
                <c:pt idx="78">
                  <c:v>2792653.9759772802</c:v>
                </c:pt>
                <c:pt idx="79">
                  <c:v>2792653.9759772802</c:v>
                </c:pt>
                <c:pt idx="80">
                  <c:v>2792653.9759772802</c:v>
                </c:pt>
                <c:pt idx="81">
                  <c:v>2792653.9759772802</c:v>
                </c:pt>
                <c:pt idx="82">
                  <c:v>2792653.9759772802</c:v>
                </c:pt>
                <c:pt idx="83">
                  <c:v>2792653.9759772802</c:v>
                </c:pt>
                <c:pt idx="84">
                  <c:v>2792653.9759772802</c:v>
                </c:pt>
                <c:pt idx="85">
                  <c:v>2792653.9759772802</c:v>
                </c:pt>
                <c:pt idx="86">
                  <c:v>2792653.9759772802</c:v>
                </c:pt>
                <c:pt idx="87">
                  <c:v>2792653.9759772802</c:v>
                </c:pt>
                <c:pt idx="88">
                  <c:v>2792653.9759772802</c:v>
                </c:pt>
                <c:pt idx="89">
                  <c:v>2792653.9759772802</c:v>
                </c:pt>
                <c:pt idx="90">
                  <c:v>2792653.9759772802</c:v>
                </c:pt>
                <c:pt idx="91">
                  <c:v>2792653.9759772802</c:v>
                </c:pt>
                <c:pt idx="92">
                  <c:v>2792653.9759772802</c:v>
                </c:pt>
                <c:pt idx="93">
                  <c:v>2792653.9759772802</c:v>
                </c:pt>
                <c:pt idx="94">
                  <c:v>2792653.9759772802</c:v>
                </c:pt>
                <c:pt idx="95">
                  <c:v>2792653.9759772802</c:v>
                </c:pt>
                <c:pt idx="96">
                  <c:v>2792653.9759772802</c:v>
                </c:pt>
                <c:pt idx="97">
                  <c:v>2792653.9759772802</c:v>
                </c:pt>
                <c:pt idx="98">
                  <c:v>2792653.9759772802</c:v>
                </c:pt>
                <c:pt idx="99">
                  <c:v>2792653.9759772802</c:v>
                </c:pt>
                <c:pt idx="100">
                  <c:v>2792653.9759772802</c:v>
                </c:pt>
                <c:pt idx="101">
                  <c:v>2792653.9759772802</c:v>
                </c:pt>
                <c:pt idx="102">
                  <c:v>2792653.9759772802</c:v>
                </c:pt>
                <c:pt idx="103">
                  <c:v>2792653.9759772802</c:v>
                </c:pt>
                <c:pt idx="104">
                  <c:v>2792653.9759772802</c:v>
                </c:pt>
                <c:pt idx="105">
                  <c:v>2792653.9759772802</c:v>
                </c:pt>
                <c:pt idx="106">
                  <c:v>2792653.9759772802</c:v>
                </c:pt>
                <c:pt idx="107">
                  <c:v>2792653.9759772802</c:v>
                </c:pt>
                <c:pt idx="108">
                  <c:v>2792653.9759772802</c:v>
                </c:pt>
                <c:pt idx="109">
                  <c:v>2792653.9759772802</c:v>
                </c:pt>
                <c:pt idx="110">
                  <c:v>2792653.9759772802</c:v>
                </c:pt>
                <c:pt idx="111">
                  <c:v>2792653.9759772802</c:v>
                </c:pt>
                <c:pt idx="112">
                  <c:v>2792653.9759772802</c:v>
                </c:pt>
                <c:pt idx="113">
                  <c:v>2792653.9759772802</c:v>
                </c:pt>
                <c:pt idx="114">
                  <c:v>2792653.9759772802</c:v>
                </c:pt>
                <c:pt idx="115">
                  <c:v>2792653.9759772802</c:v>
                </c:pt>
                <c:pt idx="116">
                  <c:v>2792653.9759772802</c:v>
                </c:pt>
                <c:pt idx="117">
                  <c:v>2792653.9759772802</c:v>
                </c:pt>
                <c:pt idx="118">
                  <c:v>2792653.9759772802</c:v>
                </c:pt>
                <c:pt idx="119">
                  <c:v>2792653.9759772802</c:v>
                </c:pt>
                <c:pt idx="120">
                  <c:v>2792653.9759772802</c:v>
                </c:pt>
                <c:pt idx="121">
                  <c:v>2792653.9759772802</c:v>
                </c:pt>
                <c:pt idx="122">
                  <c:v>2792653.9759772802</c:v>
                </c:pt>
                <c:pt idx="123">
                  <c:v>2792653.9759772802</c:v>
                </c:pt>
                <c:pt idx="124">
                  <c:v>2792653.9759772802</c:v>
                </c:pt>
                <c:pt idx="125">
                  <c:v>2792653.9759772802</c:v>
                </c:pt>
                <c:pt idx="126">
                  <c:v>2792653.9759772802</c:v>
                </c:pt>
                <c:pt idx="127">
                  <c:v>2792653.9759772802</c:v>
                </c:pt>
                <c:pt idx="128">
                  <c:v>2792653.9759772802</c:v>
                </c:pt>
                <c:pt idx="129">
                  <c:v>2792653.9759772802</c:v>
                </c:pt>
                <c:pt idx="130">
                  <c:v>2792653.9759772802</c:v>
                </c:pt>
                <c:pt idx="131">
                  <c:v>2792653.9759772802</c:v>
                </c:pt>
                <c:pt idx="132">
                  <c:v>2792653.9759772802</c:v>
                </c:pt>
                <c:pt idx="133">
                  <c:v>2792653.9759772802</c:v>
                </c:pt>
                <c:pt idx="134">
                  <c:v>2792653.9759772802</c:v>
                </c:pt>
                <c:pt idx="135">
                  <c:v>2792653.9759772802</c:v>
                </c:pt>
                <c:pt idx="136">
                  <c:v>2792653.9759772802</c:v>
                </c:pt>
                <c:pt idx="137">
                  <c:v>2792653.9759772802</c:v>
                </c:pt>
                <c:pt idx="138">
                  <c:v>2792653.9759772802</c:v>
                </c:pt>
                <c:pt idx="139">
                  <c:v>2792653.9759772802</c:v>
                </c:pt>
                <c:pt idx="140">
                  <c:v>2792653.9759772802</c:v>
                </c:pt>
                <c:pt idx="141">
                  <c:v>2792653.9759772802</c:v>
                </c:pt>
                <c:pt idx="142">
                  <c:v>2792653.9759772802</c:v>
                </c:pt>
                <c:pt idx="143">
                  <c:v>2792653.9759772802</c:v>
                </c:pt>
                <c:pt idx="144">
                  <c:v>2792653.9759772802</c:v>
                </c:pt>
                <c:pt idx="145">
                  <c:v>2792653.9759772802</c:v>
                </c:pt>
                <c:pt idx="146">
                  <c:v>2792653.9759772802</c:v>
                </c:pt>
                <c:pt idx="147">
                  <c:v>2792653.9759772802</c:v>
                </c:pt>
                <c:pt idx="148">
                  <c:v>2792653.9759772802</c:v>
                </c:pt>
                <c:pt idx="149">
                  <c:v>2792653.9759772802</c:v>
                </c:pt>
                <c:pt idx="150">
                  <c:v>2792653.9759772802</c:v>
                </c:pt>
                <c:pt idx="151">
                  <c:v>2792653.9759772802</c:v>
                </c:pt>
                <c:pt idx="152">
                  <c:v>2792653.9759772802</c:v>
                </c:pt>
                <c:pt idx="153">
                  <c:v>2792653.9759772802</c:v>
                </c:pt>
                <c:pt idx="154">
                  <c:v>2792653.9759772802</c:v>
                </c:pt>
                <c:pt idx="155">
                  <c:v>2792653.9759772802</c:v>
                </c:pt>
                <c:pt idx="156">
                  <c:v>2792653.9759772802</c:v>
                </c:pt>
                <c:pt idx="157">
                  <c:v>2792653.9759772802</c:v>
                </c:pt>
                <c:pt idx="158">
                  <c:v>2792653.9759772802</c:v>
                </c:pt>
                <c:pt idx="159">
                  <c:v>2792653.9759772802</c:v>
                </c:pt>
                <c:pt idx="160">
                  <c:v>2792653.9759772802</c:v>
                </c:pt>
                <c:pt idx="161">
                  <c:v>2792653.9759772802</c:v>
                </c:pt>
                <c:pt idx="162">
                  <c:v>2792653.9759772802</c:v>
                </c:pt>
                <c:pt idx="163">
                  <c:v>2792653.9759772802</c:v>
                </c:pt>
                <c:pt idx="164">
                  <c:v>2792653.9759772802</c:v>
                </c:pt>
                <c:pt idx="165">
                  <c:v>2792653.9759772802</c:v>
                </c:pt>
                <c:pt idx="166">
                  <c:v>2792653.9759772802</c:v>
                </c:pt>
                <c:pt idx="167">
                  <c:v>2792653.9759772802</c:v>
                </c:pt>
                <c:pt idx="168">
                  <c:v>2792653.9759772802</c:v>
                </c:pt>
                <c:pt idx="169">
                  <c:v>2792653.9759772802</c:v>
                </c:pt>
                <c:pt idx="170">
                  <c:v>2792653.9759772802</c:v>
                </c:pt>
                <c:pt idx="171">
                  <c:v>2792653.9759772802</c:v>
                </c:pt>
                <c:pt idx="172">
                  <c:v>2792653.9759772802</c:v>
                </c:pt>
                <c:pt idx="173">
                  <c:v>2792653.9759772802</c:v>
                </c:pt>
                <c:pt idx="174">
                  <c:v>2792653.9759772802</c:v>
                </c:pt>
                <c:pt idx="175">
                  <c:v>2792653.9759772802</c:v>
                </c:pt>
                <c:pt idx="176">
                  <c:v>2792653.9759772802</c:v>
                </c:pt>
                <c:pt idx="177">
                  <c:v>2792653.9759772802</c:v>
                </c:pt>
                <c:pt idx="178">
                  <c:v>2792653.9759772802</c:v>
                </c:pt>
                <c:pt idx="179">
                  <c:v>2792653.9759772802</c:v>
                </c:pt>
                <c:pt idx="180">
                  <c:v>2792653.9759772802</c:v>
                </c:pt>
                <c:pt idx="181">
                  <c:v>2792653.9759772802</c:v>
                </c:pt>
                <c:pt idx="182">
                  <c:v>2792653.9759772802</c:v>
                </c:pt>
                <c:pt idx="183">
                  <c:v>2792653.9759772802</c:v>
                </c:pt>
                <c:pt idx="184">
                  <c:v>2792653.9759772802</c:v>
                </c:pt>
                <c:pt idx="185">
                  <c:v>2792653.9759772802</c:v>
                </c:pt>
                <c:pt idx="186">
                  <c:v>2792653.9759772802</c:v>
                </c:pt>
                <c:pt idx="187">
                  <c:v>2792653.9759772802</c:v>
                </c:pt>
                <c:pt idx="188">
                  <c:v>2792653.9759772802</c:v>
                </c:pt>
                <c:pt idx="189">
                  <c:v>2792653.9759772802</c:v>
                </c:pt>
                <c:pt idx="190">
                  <c:v>2792653.9759772802</c:v>
                </c:pt>
                <c:pt idx="191">
                  <c:v>2792653.9759772802</c:v>
                </c:pt>
                <c:pt idx="192">
                  <c:v>2792653.9759772802</c:v>
                </c:pt>
                <c:pt idx="193">
                  <c:v>2792653.9759772802</c:v>
                </c:pt>
                <c:pt idx="194">
                  <c:v>2792653.9759772802</c:v>
                </c:pt>
                <c:pt idx="195">
                  <c:v>2792653.9759772802</c:v>
                </c:pt>
                <c:pt idx="196">
                  <c:v>2792653.9759772802</c:v>
                </c:pt>
                <c:pt idx="197">
                  <c:v>2792653.9759772802</c:v>
                </c:pt>
                <c:pt idx="198">
                  <c:v>2792653.9759772802</c:v>
                </c:pt>
                <c:pt idx="199">
                  <c:v>2792653.9759772802</c:v>
                </c:pt>
                <c:pt idx="200">
                  <c:v>2792653.9759772802</c:v>
                </c:pt>
                <c:pt idx="201">
                  <c:v>2792653.9759772802</c:v>
                </c:pt>
                <c:pt idx="202">
                  <c:v>2792653.9759772802</c:v>
                </c:pt>
                <c:pt idx="203">
                  <c:v>2792653.9759772802</c:v>
                </c:pt>
                <c:pt idx="204">
                  <c:v>2792653.9759772802</c:v>
                </c:pt>
                <c:pt idx="205">
                  <c:v>2792653.9759772802</c:v>
                </c:pt>
                <c:pt idx="206">
                  <c:v>2792653.9759772802</c:v>
                </c:pt>
                <c:pt idx="207">
                  <c:v>2792653.9759772802</c:v>
                </c:pt>
                <c:pt idx="208">
                  <c:v>2792653.9759772802</c:v>
                </c:pt>
                <c:pt idx="209">
                  <c:v>2792653.9759772802</c:v>
                </c:pt>
                <c:pt idx="210">
                  <c:v>2792653.9759772802</c:v>
                </c:pt>
                <c:pt idx="211">
                  <c:v>2792653.9759772802</c:v>
                </c:pt>
                <c:pt idx="212">
                  <c:v>2792653.9759772802</c:v>
                </c:pt>
                <c:pt idx="213">
                  <c:v>2792653.9759772802</c:v>
                </c:pt>
                <c:pt idx="214">
                  <c:v>2792653.9759772802</c:v>
                </c:pt>
                <c:pt idx="215">
                  <c:v>2792653.9759772802</c:v>
                </c:pt>
                <c:pt idx="216">
                  <c:v>2792653.9759772802</c:v>
                </c:pt>
                <c:pt idx="217">
                  <c:v>2792653.9759772802</c:v>
                </c:pt>
                <c:pt idx="218">
                  <c:v>2792653.9759772802</c:v>
                </c:pt>
                <c:pt idx="219">
                  <c:v>2792653.9759772802</c:v>
                </c:pt>
                <c:pt idx="220">
                  <c:v>2792653.9759772802</c:v>
                </c:pt>
                <c:pt idx="221">
                  <c:v>2792653.9759772802</c:v>
                </c:pt>
                <c:pt idx="222">
                  <c:v>2792653.9759772802</c:v>
                </c:pt>
                <c:pt idx="223">
                  <c:v>2792653.9759772802</c:v>
                </c:pt>
                <c:pt idx="224">
                  <c:v>2792653.9759772802</c:v>
                </c:pt>
                <c:pt idx="225">
                  <c:v>2792653.9759772802</c:v>
                </c:pt>
                <c:pt idx="226">
                  <c:v>2792653.9759772802</c:v>
                </c:pt>
                <c:pt idx="227">
                  <c:v>2792653.9759772802</c:v>
                </c:pt>
                <c:pt idx="228">
                  <c:v>2792653.9759772802</c:v>
                </c:pt>
                <c:pt idx="229">
                  <c:v>2792653.9759772802</c:v>
                </c:pt>
                <c:pt idx="230">
                  <c:v>2792653.9759772802</c:v>
                </c:pt>
                <c:pt idx="231">
                  <c:v>2792653.9759772802</c:v>
                </c:pt>
                <c:pt idx="232">
                  <c:v>2792653.9759772802</c:v>
                </c:pt>
                <c:pt idx="233">
                  <c:v>2792653.9759772802</c:v>
                </c:pt>
                <c:pt idx="234">
                  <c:v>2792653.9759772802</c:v>
                </c:pt>
                <c:pt idx="235">
                  <c:v>2792653.9759772802</c:v>
                </c:pt>
                <c:pt idx="236">
                  <c:v>2792653.9759772802</c:v>
                </c:pt>
                <c:pt idx="237">
                  <c:v>2792653.9759772802</c:v>
                </c:pt>
                <c:pt idx="238">
                  <c:v>2792653.9759772802</c:v>
                </c:pt>
                <c:pt idx="239">
                  <c:v>2792653.9759772802</c:v>
                </c:pt>
                <c:pt idx="240">
                  <c:v>2792653.9759772802</c:v>
                </c:pt>
                <c:pt idx="241">
                  <c:v>2792653.9759772802</c:v>
                </c:pt>
                <c:pt idx="242">
                  <c:v>2792653.9759772802</c:v>
                </c:pt>
                <c:pt idx="243">
                  <c:v>2792653.9759772802</c:v>
                </c:pt>
                <c:pt idx="244">
                  <c:v>2792653.9759772802</c:v>
                </c:pt>
                <c:pt idx="245">
                  <c:v>2792653.9759772802</c:v>
                </c:pt>
                <c:pt idx="246">
                  <c:v>2792653.9759772802</c:v>
                </c:pt>
                <c:pt idx="247">
                  <c:v>2792653.9759772802</c:v>
                </c:pt>
                <c:pt idx="248">
                  <c:v>2792653.9759772802</c:v>
                </c:pt>
                <c:pt idx="249">
                  <c:v>2792653.9759772802</c:v>
                </c:pt>
                <c:pt idx="250">
                  <c:v>2792653.9759772802</c:v>
                </c:pt>
                <c:pt idx="251">
                  <c:v>2792653.9759772802</c:v>
                </c:pt>
                <c:pt idx="252">
                  <c:v>2792653.9759772802</c:v>
                </c:pt>
                <c:pt idx="253">
                  <c:v>2792653.9759772802</c:v>
                </c:pt>
                <c:pt idx="254">
                  <c:v>2792653.9759772802</c:v>
                </c:pt>
                <c:pt idx="255">
                  <c:v>2792653.9759772802</c:v>
                </c:pt>
                <c:pt idx="256">
                  <c:v>2792653.9759772802</c:v>
                </c:pt>
                <c:pt idx="257">
                  <c:v>2792653.9759772802</c:v>
                </c:pt>
                <c:pt idx="258">
                  <c:v>2792653.9759772802</c:v>
                </c:pt>
                <c:pt idx="259">
                  <c:v>2792653.9759772802</c:v>
                </c:pt>
                <c:pt idx="260">
                  <c:v>2792653.9759772802</c:v>
                </c:pt>
                <c:pt idx="261">
                  <c:v>2792653.9759772802</c:v>
                </c:pt>
                <c:pt idx="262">
                  <c:v>2792653.9759772802</c:v>
                </c:pt>
                <c:pt idx="263">
                  <c:v>2792653.9759772802</c:v>
                </c:pt>
                <c:pt idx="264">
                  <c:v>2792653.9759772802</c:v>
                </c:pt>
                <c:pt idx="265">
                  <c:v>2792653.9759772802</c:v>
                </c:pt>
                <c:pt idx="266">
                  <c:v>2792653.9759772802</c:v>
                </c:pt>
                <c:pt idx="267">
                  <c:v>2792653.9759772802</c:v>
                </c:pt>
                <c:pt idx="268">
                  <c:v>2792653.9759772802</c:v>
                </c:pt>
                <c:pt idx="269">
                  <c:v>2792653.9759772802</c:v>
                </c:pt>
                <c:pt idx="270">
                  <c:v>2792653.9759772802</c:v>
                </c:pt>
                <c:pt idx="271">
                  <c:v>2792653.9759772802</c:v>
                </c:pt>
                <c:pt idx="272">
                  <c:v>2792653.9759772802</c:v>
                </c:pt>
                <c:pt idx="273">
                  <c:v>2792653.9759772802</c:v>
                </c:pt>
                <c:pt idx="274">
                  <c:v>2792653.9759772802</c:v>
                </c:pt>
                <c:pt idx="275">
                  <c:v>2792653.9759772802</c:v>
                </c:pt>
                <c:pt idx="276">
                  <c:v>2792653.9759772802</c:v>
                </c:pt>
                <c:pt idx="277">
                  <c:v>2792653.9759772802</c:v>
                </c:pt>
                <c:pt idx="278">
                  <c:v>2792653.9759772802</c:v>
                </c:pt>
                <c:pt idx="279">
                  <c:v>2792653.9759772802</c:v>
                </c:pt>
                <c:pt idx="280">
                  <c:v>2792653.9759772802</c:v>
                </c:pt>
                <c:pt idx="281">
                  <c:v>2792653.9759772802</c:v>
                </c:pt>
                <c:pt idx="282">
                  <c:v>2792653.9759772802</c:v>
                </c:pt>
                <c:pt idx="283">
                  <c:v>2792653.9759772802</c:v>
                </c:pt>
                <c:pt idx="284">
                  <c:v>2792653.9759772802</c:v>
                </c:pt>
                <c:pt idx="285">
                  <c:v>2792653.9759772802</c:v>
                </c:pt>
                <c:pt idx="286">
                  <c:v>2792653.9759772802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5272800923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00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-2730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6-01-31T00:00:00"/>
        <d v="2025-12-31T00:00:00"/>
        <d v="2026-02-28T00:00:00"/>
        <d v="2025-11-30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7425135498997406E-3"/>
    </cacheField>
    <cacheField name="FINANCE PAYMENT DATE" numFmtId="0">
      <sharedItems containsDate="1" containsBlank="1" containsMixedTypes="1" minDate="2025-10-24T00:00:00" maxDate="2026-03-06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-2.3061083629727364E-3"/>
    <d v="2025-12-28T00:00:00"/>
    <n v="143126.91999999998"/>
  </r>
  <r>
    <n v="4"/>
    <x v="4"/>
    <s v="DC Cable -Red  Move to stock JHB)"/>
    <n v="-2000"/>
    <n v="13.65"/>
    <n v="-27300"/>
    <m/>
    <s v="Allocated to Joburg Storeroom"/>
    <x v="3"/>
    <n v="0"/>
    <m/>
    <d v="2026-01-31T00:00:00"/>
    <m/>
  </r>
  <r>
    <n v="4"/>
    <x v="4"/>
    <s v="DC Cable - BlackMove to stock JHB)"/>
    <n v="-2000"/>
    <n v="13.65"/>
    <n v="-27300"/>
    <m/>
    <s v="Allocated to Joburg Storeroom"/>
    <x v="3"/>
    <n v="0"/>
    <m/>
    <d v="2026-01-31T00:00:00"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4"/>
    <n v="21557.979124380232"/>
    <m/>
    <d v="2025-12-12T00:00:00"/>
    <m/>
  </r>
  <r>
    <n v="4"/>
    <x v="4"/>
    <s v="DC Installation Complete"/>
    <m/>
    <n v="0.25"/>
    <n v="28956.73"/>
    <m/>
    <s v="The Greenway INV0001556"/>
    <x v="4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4"/>
    <n v="10778.989562190116"/>
    <m/>
    <d v="2025-12-12T00:00:00"/>
    <m/>
  </r>
  <r>
    <n v="4"/>
    <x v="4"/>
    <s v="Site De-establisment"/>
    <m/>
    <n v="0.1"/>
    <n v="11582.692000000001"/>
    <m/>
    <s v="The Greenway INV0001564"/>
    <x v="4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4"/>
    <n v="5389.494781095058"/>
    <m/>
    <d v="2026-01-29T00:00:00"/>
    <m/>
  </r>
  <r>
    <n v="4"/>
    <x v="4"/>
    <s v="End of Defects Period"/>
    <m/>
    <n v="0.05"/>
    <n v="5791.3460000000005"/>
    <m/>
    <m/>
    <x v="5"/>
    <n v="5389.497087203442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2.8336118557490408E-3"/>
    <d v="2025-12-28T00:00:00"/>
    <n v="105182.45"/>
  </r>
  <r>
    <n v="5"/>
    <x v="5"/>
    <s v="CTs &amp; Meters"/>
    <m/>
    <m/>
    <n v="14118"/>
    <s v="PO4458-MBE-2025111 - RV Approved"/>
    <s v="Accuenergy Inv:ASAI-006830"/>
    <x v="6"/>
    <n v="25155.72876205184"/>
    <m/>
    <d v="2026-01-07T00:00:00"/>
    <m/>
  </r>
  <r>
    <n v="5"/>
    <x v="5"/>
    <s v="Techsitter"/>
    <m/>
    <m/>
    <n v="11169"/>
    <m/>
    <s v="Matriarch Inv: 6200"/>
    <x v="3"/>
    <n v="23141.457934175331"/>
    <m/>
    <d v="2026-01-29T00:00:00"/>
    <m/>
  </r>
  <r>
    <n v="5"/>
    <x v="5"/>
    <s v="Delivery of Techsitter"/>
    <m/>
    <m/>
    <n v="307.94"/>
    <m/>
    <s v="DSV Inv: 180156930"/>
    <x v="6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6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4"/>
    <n v="63332"/>
    <m/>
    <d v="2025-12-12T00:00:00"/>
    <m/>
  </r>
  <r>
    <n v="6"/>
    <x v="6"/>
    <s v="DC Installation Complete"/>
    <m/>
    <n v="0.25"/>
    <n v="97452.49"/>
    <m/>
    <s v="The Greenway INV0001556"/>
    <x v="4"/>
    <n v="79165"/>
    <m/>
    <d v="2025-12-12T00:00:00"/>
    <m/>
  </r>
  <r>
    <n v="6"/>
    <x v="6"/>
    <s v="Commissioning Complete"/>
    <m/>
    <n v="0.1"/>
    <n v="38980.996000000006"/>
    <m/>
    <s v="The Greenway INV0001557"/>
    <x v="4"/>
    <n v="31666"/>
    <m/>
    <d v="2025-12-12T00:00:00"/>
    <m/>
  </r>
  <r>
    <n v="6"/>
    <x v="6"/>
    <s v="Site De-establisment"/>
    <m/>
    <n v="0.1"/>
    <n v="38980.996000000006"/>
    <m/>
    <s v="The Greenway INV0001564"/>
    <x v="4"/>
    <n v="31666"/>
    <m/>
    <d v="2025-12-24T00:00:00"/>
    <m/>
  </r>
  <r>
    <n v="6"/>
    <x v="6"/>
    <s v="Handover Document Complete"/>
    <m/>
    <n v="0.05"/>
    <n v="19490.498000000003"/>
    <m/>
    <s v="The Greenway - INV0001565"/>
    <x v="4"/>
    <n v="15833"/>
    <m/>
    <d v="2026-01-29T00:00:00"/>
    <m/>
  </r>
  <r>
    <n v="6"/>
    <x v="6"/>
    <s v="End of Defects Period"/>
    <m/>
    <n v="0.05"/>
    <n v="19490.498000000003"/>
    <m/>
    <m/>
    <x v="5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6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6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4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6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4"/>
    <n v="21272.133971965242"/>
    <m/>
    <d v="2026-02-05T00:00:00"/>
    <m/>
  </r>
  <r>
    <n v="8"/>
    <x v="8"/>
    <s v="Lightning Risk Assessment"/>
    <m/>
    <m/>
    <n v="7250"/>
    <s v="PO4406-MBE-20251024 - RV Approved"/>
    <s v="LPS - IN307444"/>
    <x v="6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6"/>
    <n v="27740.451250517064"/>
    <m/>
    <d v="2025-11-13T00:00:00"/>
    <m/>
  </r>
  <r>
    <n v="8"/>
    <x v="8"/>
    <m/>
    <n v="0.5"/>
    <m/>
    <n v="29867.095000000001"/>
    <m/>
    <s v="JJL Steel &amp; Construction INV251112"/>
    <x v="6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5"/>
    <n v="55537.5"/>
    <s v="PO4552-MBE-20260116 - RV Approved"/>
    <s v="ATS Africa - INV-0468"/>
    <x v="3"/>
    <n v="56217.710915810079"/>
    <m/>
    <d v="2026-01-23T00:00:00"/>
    <m/>
  </r>
  <r>
    <n v="8"/>
    <x v="8"/>
    <s v="Safety Life Lines - 140m - Balance"/>
    <m/>
    <n v="0.5"/>
    <n v="55537.5"/>
    <m/>
    <s v="ATS Africa - INV-0468"/>
    <x v="3"/>
    <n v="56217.710915810079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4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4"/>
    <n v="9691.9991579911621"/>
    <m/>
    <d v="2025-12-18T00:00:00"/>
    <m/>
  </r>
  <r>
    <n v="8"/>
    <x v="8"/>
    <s v="Cable Trays"/>
    <m/>
    <m/>
    <n v="16825.900000000001"/>
    <m/>
    <s v="The Greenway - INV0001559"/>
    <x v="4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4"/>
    <n v="44188.799999999996"/>
    <m/>
    <d v="2025-12-12T00:00:00"/>
    <m/>
  </r>
  <r>
    <n v="9"/>
    <x v="9"/>
    <s v="DC Installation Complete"/>
    <m/>
    <n v="0.25"/>
    <n v="90333.5"/>
    <m/>
    <s v="The Greenway INV0001556"/>
    <x v="4"/>
    <n v="55235.999999999993"/>
    <m/>
    <d v="2025-12-12T00:00:00"/>
    <m/>
  </r>
  <r>
    <n v="9"/>
    <x v="9"/>
    <s v="Commissioning Complete"/>
    <m/>
    <n v="0.1"/>
    <n v="36133.4"/>
    <m/>
    <s v="The Greenway INV0001557"/>
    <x v="4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4"/>
    <n v="22094.399999999998"/>
    <m/>
    <d v="2025-12-24T00:00:00"/>
    <m/>
  </r>
  <r>
    <n v="9"/>
    <x v="9"/>
    <s v="Handover Document Complete"/>
    <m/>
    <n v="0.05"/>
    <n v="18066.7"/>
    <m/>
    <s v="The Greenway - INV0001565"/>
    <x v="4"/>
    <n v="11047.199999999999"/>
    <m/>
    <d v="2026-01-29T00:00:00"/>
    <m/>
  </r>
  <r>
    <n v="9"/>
    <x v="9"/>
    <s v="End of Defects Period"/>
    <m/>
    <n v="0.05"/>
    <n v="18066.7"/>
    <m/>
    <m/>
    <x v="5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4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4"/>
    <n v="10625.930331396716"/>
    <m/>
    <d v="2025-12-12T00:00:00"/>
    <m/>
  </r>
  <r>
    <n v="10"/>
    <x v="10"/>
    <s v="DC Installation Complete"/>
    <m/>
    <n v="0.25"/>
    <n v="37037.625"/>
    <m/>
    <s v="The Greenway INV0001556"/>
    <x v="4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4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4"/>
    <n v="5312.9651656983579"/>
    <m/>
    <d v="2025-12-24T00:00:00"/>
    <m/>
  </r>
  <r>
    <n v="10"/>
    <x v="10"/>
    <s v="Handover Document Complete"/>
    <m/>
    <n v="0.05"/>
    <n v="7407.53"/>
    <m/>
    <s v="The Greenway - INV0001565"/>
    <x v="4"/>
    <n v="2656.4843759464566"/>
    <m/>
    <d v="2026-01-29T00:00:00"/>
    <m/>
  </r>
  <r>
    <n v="10"/>
    <x v="10"/>
    <s v="End of Defects Period"/>
    <m/>
    <n v="0.05"/>
    <n v="7407.53"/>
    <m/>
    <m/>
    <x v="5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4"/>
    <n v="3664.3210490158435"/>
    <n v="-1.1257444166403729E-3"/>
    <d v="2026-01-23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5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4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5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4.7425135498997406E-3"/>
    <d v="2025-11-06T00:00:00"/>
    <n v="33994.93"/>
  </r>
  <r>
    <n v="14"/>
    <x v="14"/>
    <s v="Travel"/>
    <m/>
    <m/>
    <n v="10490.93"/>
    <m/>
    <s v="Expense Claim"/>
    <x v="6"/>
    <n v="1455.2804181506942"/>
    <m/>
    <d v="2025-12-05T00:00:00"/>
    <m/>
  </r>
  <r>
    <n v="14"/>
    <x v="14"/>
    <s v="Travel"/>
    <m/>
    <m/>
    <n v="8655.5400000000009"/>
    <m/>
    <s v="Expense Claim"/>
    <x v="4"/>
    <n v="1016.0260460104794"/>
    <m/>
    <d v="2026-01-08T00:00:00"/>
    <m/>
  </r>
  <r>
    <n v="14"/>
    <x v="14"/>
    <s v="Travel"/>
    <m/>
    <m/>
    <n v="3332"/>
    <m/>
    <s v="Expense Claim"/>
    <x v="3"/>
    <n v="352.40904696082617"/>
    <m/>
    <d v="2026-02-05T00:00:00"/>
    <m/>
  </r>
  <r>
    <n v="14"/>
    <x v="14"/>
    <s v="Travel"/>
    <m/>
    <m/>
    <n v="3500"/>
    <m/>
    <m/>
    <x v="5"/>
    <n v="500.47168798406113"/>
    <m/>
    <d v="2026-03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44146.93"/>
  </r>
  <r>
    <n v="15"/>
    <x v="15"/>
    <s v="Roof Remedial Work Deposit - Client Cost"/>
    <n v="23350"/>
    <n v="0.8"/>
    <n v="18680"/>
    <s v="PO4436-MBE-20251102 - RV Approved"/>
    <s v="Evolution Coatings - INV0000122"/>
    <x v="6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6"/>
    <n v="0"/>
    <m/>
    <d v="2025-11-27T00:00:00"/>
    <m/>
  </r>
  <r>
    <n v="15"/>
    <x v="15"/>
    <s v="Waterpoints "/>
    <m/>
    <m/>
    <n v="5450"/>
    <m/>
    <s v="Evolution Coatings - INV0000138"/>
    <x v="4"/>
    <n v="2725"/>
    <m/>
    <d v="2025-12-18T00:00:00"/>
    <m/>
  </r>
  <r>
    <n v="15"/>
    <x v="15"/>
    <s v="Waterproofing - Client Cost"/>
    <m/>
    <m/>
    <n v="5450"/>
    <s v="PO4519-MBE-20251203 - RV Approved"/>
    <m/>
    <x v="5"/>
    <n v="2725"/>
    <m/>
    <d v="2026-02-12T00:00:00"/>
    <m/>
  </r>
  <r>
    <n v="15"/>
    <x v="15"/>
    <s v="Cable support signoff"/>
    <m/>
    <m/>
    <n v="3500"/>
    <s v="PO4543-MBE-20251217 - RV Approved"/>
    <s v="L&amp;B Consulting IN-2175"/>
    <x v="4"/>
    <n v="0"/>
    <m/>
    <d v="2025-12-18T00:00:00"/>
    <m/>
  </r>
  <r>
    <n v="15"/>
    <x v="15"/>
    <s v="Delivery of Sonel Meter"/>
    <m/>
    <m/>
    <n v="273.93"/>
    <m/>
    <s v="DSV Inv: 180158820"/>
    <x v="4"/>
    <n v="0"/>
    <m/>
    <d v="2026-01-29T00:00:00"/>
    <m/>
  </r>
  <r>
    <n v="15"/>
    <x v="15"/>
    <s v="Enclosure Modification"/>
    <m/>
    <m/>
    <n v="6123"/>
    <s v="PO4583-MBE-20260127 - RV Approved"/>
    <m/>
    <x v="5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6"/>
        <item x="4"/>
        <item x="2"/>
        <item m="1" x="15"/>
        <item m="1" x="12"/>
        <item x="3"/>
        <item m="1" x="7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6"/>
        <item x="4"/>
        <item m="1" x="15"/>
        <item m="1" x="12"/>
        <item m="1" x="7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08" t="s">
        <v>0</v>
      </c>
      <c r="C2" s="708"/>
      <c r="D2" s="708"/>
      <c r="E2" s="708"/>
      <c r="H2" s="709" t="s">
        <v>1</v>
      </c>
      <c r="I2" s="710"/>
      <c r="J2" s="710"/>
      <c r="K2" s="710"/>
      <c r="L2" s="710"/>
      <c r="M2" s="710"/>
      <c r="N2" s="710"/>
      <c r="O2" s="711"/>
    </row>
    <row r="3" spans="2:15">
      <c r="B3" s="589"/>
      <c r="H3" s="712"/>
      <c r="I3" s="713"/>
      <c r="J3" s="713"/>
      <c r="K3" s="713"/>
      <c r="L3" s="713"/>
      <c r="M3" s="713"/>
      <c r="N3" s="713"/>
      <c r="O3" s="714"/>
    </row>
    <row r="4" spans="2:15">
      <c r="B4" s="590" t="s">
        <v>2</v>
      </c>
      <c r="C4" s="591" t="str">
        <f>'Project Plan'!E2</f>
        <v>Mahikeng Builders Express</v>
      </c>
      <c r="H4" s="712"/>
      <c r="I4" s="713"/>
      <c r="J4" s="713"/>
      <c r="K4" s="713"/>
      <c r="L4" s="713"/>
      <c r="M4" s="713"/>
      <c r="N4" s="713"/>
      <c r="O4" s="714"/>
    </row>
    <row r="5" spans="2:15">
      <c r="B5" s="590" t="s">
        <v>3</v>
      </c>
      <c r="C5" s="591" t="s">
        <v>4</v>
      </c>
      <c r="H5" s="712"/>
      <c r="I5" s="713"/>
      <c r="J5" s="713"/>
      <c r="K5" s="713"/>
      <c r="L5" s="713"/>
      <c r="M5" s="713"/>
      <c r="N5" s="713"/>
      <c r="O5" s="714"/>
    </row>
    <row r="6" spans="2:15">
      <c r="B6" s="590" t="s">
        <v>5</v>
      </c>
      <c r="C6" s="591" t="s">
        <v>6</v>
      </c>
      <c r="H6" s="712"/>
      <c r="I6" s="713"/>
      <c r="J6" s="713"/>
      <c r="K6" s="713"/>
      <c r="L6" s="713"/>
      <c r="M6" s="713"/>
      <c r="N6" s="713"/>
      <c r="O6" s="714"/>
    </row>
    <row r="7" spans="2:15">
      <c r="B7" s="590" t="s">
        <v>7</v>
      </c>
      <c r="C7" s="591" t="s">
        <v>8</v>
      </c>
      <c r="H7" s="712"/>
      <c r="I7" s="713"/>
      <c r="J7" s="713"/>
      <c r="K7" s="713"/>
      <c r="L7" s="713"/>
      <c r="M7" s="713"/>
      <c r="N7" s="713"/>
      <c r="O7" s="714"/>
    </row>
    <row r="8" spans="2:15">
      <c r="B8" s="589"/>
      <c r="H8" s="712"/>
      <c r="I8" s="713"/>
      <c r="J8" s="713"/>
      <c r="K8" s="713"/>
      <c r="L8" s="713"/>
      <c r="M8" s="713"/>
      <c r="N8" s="713"/>
      <c r="O8" s="714"/>
    </row>
    <row r="9" spans="2:15">
      <c r="B9" s="718" t="s">
        <v>9</v>
      </c>
      <c r="C9" s="718"/>
      <c r="D9" s="718"/>
      <c r="E9" s="718"/>
      <c r="H9" s="712"/>
      <c r="I9" s="713"/>
      <c r="J9" s="713"/>
      <c r="K9" s="713"/>
      <c r="L9" s="713"/>
      <c r="M9" s="713"/>
      <c r="N9" s="713"/>
      <c r="O9" s="714"/>
    </row>
    <row r="10" spans="2:15" ht="15" thickBot="1">
      <c r="B10" s="718" t="s">
        <v>10</v>
      </c>
      <c r="C10" s="718"/>
      <c r="D10" s="718"/>
      <c r="E10" s="718"/>
      <c r="H10" s="715"/>
      <c r="I10" s="716"/>
      <c r="J10" s="716"/>
      <c r="K10" s="716"/>
      <c r="L10" s="716"/>
      <c r="M10" s="716"/>
      <c r="N10" s="716"/>
      <c r="O10" s="717"/>
    </row>
    <row r="11" spans="2:15">
      <c r="B11" s="592" t="s">
        <v>11</v>
      </c>
      <c r="C11" s="706" t="s">
        <v>12</v>
      </c>
      <c r="D11" s="706"/>
      <c r="E11" s="706"/>
    </row>
    <row r="12" spans="2:15">
      <c r="B12" s="592" t="s">
        <v>13</v>
      </c>
      <c r="C12" s="706" t="s">
        <v>12</v>
      </c>
      <c r="D12" s="706"/>
      <c r="E12" s="706"/>
    </row>
    <row r="13" spans="2:15">
      <c r="B13" s="592" t="s">
        <v>14</v>
      </c>
      <c r="C13" s="706" t="s">
        <v>15</v>
      </c>
      <c r="D13" s="706"/>
      <c r="E13" s="706"/>
    </row>
    <row r="14" spans="2:15">
      <c r="B14" s="592" t="s">
        <v>16</v>
      </c>
      <c r="C14" s="706" t="s">
        <v>15</v>
      </c>
      <c r="D14" s="706"/>
      <c r="E14" s="706"/>
    </row>
    <row r="15" spans="2:15">
      <c r="B15" s="592" t="s">
        <v>17</v>
      </c>
      <c r="C15" s="706" t="s">
        <v>18</v>
      </c>
      <c r="D15" s="706"/>
      <c r="E15" s="706"/>
    </row>
    <row r="16" spans="2:15" ht="15" customHeight="1">
      <c r="B16" s="592" t="s">
        <v>19</v>
      </c>
      <c r="C16" s="706"/>
      <c r="D16" s="706"/>
      <c r="E16" s="706"/>
    </row>
    <row r="17" spans="2:5">
      <c r="B17" s="589"/>
    </row>
    <row r="18" spans="2:5">
      <c r="B18" s="707" t="s">
        <v>20</v>
      </c>
      <c r="C18" s="707"/>
      <c r="D18" s="707"/>
      <c r="E18" s="707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08" t="s">
        <v>28</v>
      </c>
      <c r="C2" s="708"/>
      <c r="D2" s="708"/>
      <c r="E2" s="708"/>
      <c r="H2" s="709" t="s">
        <v>29</v>
      </c>
      <c r="I2" s="710"/>
      <c r="J2" s="710"/>
      <c r="K2" s="710"/>
      <c r="L2" s="710"/>
      <c r="M2" s="710"/>
      <c r="N2" s="710"/>
      <c r="O2" s="711"/>
    </row>
    <row r="3" spans="2:15">
      <c r="B3" s="589"/>
      <c r="H3" s="712"/>
      <c r="I3" s="713"/>
      <c r="J3" s="713"/>
      <c r="K3" s="713"/>
      <c r="L3" s="713"/>
      <c r="M3" s="713"/>
      <c r="N3" s="713"/>
      <c r="O3" s="714"/>
    </row>
    <row r="4" spans="2:15">
      <c r="B4" s="590" t="s">
        <v>2</v>
      </c>
      <c r="C4" s="591" t="str">
        <f>'Project Plan'!E2</f>
        <v>Mahikeng Builders Express</v>
      </c>
      <c r="H4" s="712"/>
      <c r="I4" s="713"/>
      <c r="J4" s="713"/>
      <c r="K4" s="713"/>
      <c r="L4" s="713"/>
      <c r="M4" s="713"/>
      <c r="N4" s="713"/>
      <c r="O4" s="714"/>
    </row>
    <row r="5" spans="2:15">
      <c r="B5" s="590" t="s">
        <v>30</v>
      </c>
      <c r="C5" s="591"/>
      <c r="H5" s="712"/>
      <c r="I5" s="713"/>
      <c r="J5" s="713"/>
      <c r="K5" s="713"/>
      <c r="L5" s="713"/>
      <c r="M5" s="713"/>
      <c r="N5" s="713"/>
      <c r="O5" s="714"/>
    </row>
    <row r="6" spans="2:15">
      <c r="B6" s="590" t="s">
        <v>5</v>
      </c>
      <c r="C6" s="591" t="s">
        <v>6</v>
      </c>
      <c r="H6" s="712"/>
      <c r="I6" s="713"/>
      <c r="J6" s="713"/>
      <c r="K6" s="713"/>
      <c r="L6" s="713"/>
      <c r="M6" s="713"/>
      <c r="N6" s="713"/>
      <c r="O6" s="714"/>
    </row>
    <row r="7" spans="2:15">
      <c r="B7" s="590" t="s">
        <v>31</v>
      </c>
      <c r="C7" s="591" t="s">
        <v>32</v>
      </c>
      <c r="H7" s="712"/>
      <c r="I7" s="713"/>
      <c r="J7" s="713"/>
      <c r="K7" s="713"/>
      <c r="L7" s="713"/>
      <c r="M7" s="713"/>
      <c r="N7" s="713"/>
      <c r="O7" s="714"/>
    </row>
    <row r="8" spans="2:15">
      <c r="B8" s="590" t="s">
        <v>33</v>
      </c>
      <c r="C8" s="591"/>
      <c r="H8" s="712"/>
      <c r="I8" s="713"/>
      <c r="J8" s="713"/>
      <c r="K8" s="713"/>
      <c r="L8" s="713"/>
      <c r="M8" s="713"/>
      <c r="N8" s="713"/>
      <c r="O8" s="714"/>
    </row>
    <row r="9" spans="2:15">
      <c r="B9" s="589"/>
      <c r="H9" s="712"/>
      <c r="I9" s="713"/>
      <c r="J9" s="713"/>
      <c r="K9" s="713"/>
      <c r="L9" s="713"/>
      <c r="M9" s="713"/>
      <c r="N9" s="713"/>
      <c r="O9" s="714"/>
    </row>
    <row r="10" spans="2:15">
      <c r="B10" s="718" t="s">
        <v>9</v>
      </c>
      <c r="C10" s="718"/>
      <c r="D10" s="718"/>
      <c r="E10" s="718"/>
      <c r="H10" s="712"/>
      <c r="I10" s="713"/>
      <c r="J10" s="713"/>
      <c r="K10" s="713"/>
      <c r="L10" s="713"/>
      <c r="M10" s="713"/>
      <c r="N10" s="713"/>
      <c r="O10" s="714"/>
    </row>
    <row r="11" spans="2:15" ht="15" thickBot="1">
      <c r="B11" s="718" t="s">
        <v>10</v>
      </c>
      <c r="C11" s="718"/>
      <c r="D11" s="718"/>
      <c r="E11" s="718"/>
      <c r="H11" s="715"/>
      <c r="I11" s="716"/>
      <c r="J11" s="716"/>
      <c r="K11" s="716"/>
      <c r="L11" s="716"/>
      <c r="M11" s="716"/>
      <c r="N11" s="716"/>
      <c r="O11" s="717"/>
    </row>
    <row r="12" spans="2:15" ht="26.4">
      <c r="B12" s="592" t="s">
        <v>34</v>
      </c>
      <c r="C12" s="706"/>
      <c r="D12" s="706"/>
      <c r="E12" s="706"/>
    </row>
    <row r="13" spans="2:15">
      <c r="B13" s="592" t="s">
        <v>35</v>
      </c>
      <c r="C13" s="706"/>
      <c r="D13" s="706"/>
      <c r="E13" s="706"/>
    </row>
    <row r="14" spans="2:15">
      <c r="B14" s="592" t="s">
        <v>36</v>
      </c>
      <c r="C14" s="706"/>
      <c r="D14" s="706"/>
      <c r="E14" s="706"/>
    </row>
    <row r="15" spans="2:15">
      <c r="B15" s="592" t="s">
        <v>37</v>
      </c>
      <c r="C15" s="706"/>
      <c r="D15" s="706"/>
      <c r="E15" s="706"/>
    </row>
    <row r="16" spans="2:15" ht="26.4">
      <c r="B16" s="592" t="s">
        <v>38</v>
      </c>
      <c r="C16" s="706"/>
      <c r="D16" s="706"/>
      <c r="E16" s="706"/>
    </row>
    <row r="17" spans="2:5">
      <c r="B17" s="592" t="s">
        <v>39</v>
      </c>
      <c r="C17" s="706"/>
      <c r="D17" s="706"/>
      <c r="E17" s="706"/>
    </row>
    <row r="18" spans="2:5">
      <c r="B18" s="592" t="s">
        <v>40</v>
      </c>
      <c r="C18" s="706"/>
      <c r="D18" s="706"/>
      <c r="E18" s="706"/>
    </row>
    <row r="19" spans="2:5">
      <c r="B19" s="592" t="s">
        <v>41</v>
      </c>
      <c r="C19" s="706"/>
      <c r="D19" s="706"/>
      <c r="E19" s="706"/>
    </row>
    <row r="20" spans="2:5">
      <c r="B20" s="592" t="s">
        <v>42</v>
      </c>
      <c r="C20" s="706"/>
      <c r="D20" s="706"/>
      <c r="E20" s="706"/>
    </row>
    <row r="21" spans="2:5">
      <c r="B21" s="592" t="s">
        <v>43</v>
      </c>
      <c r="C21" s="706"/>
      <c r="D21" s="706"/>
      <c r="E21" s="706"/>
    </row>
    <row r="22" spans="2:5" ht="15" customHeight="1">
      <c r="B22" s="592" t="s">
        <v>19</v>
      </c>
      <c r="C22" s="706"/>
      <c r="D22" s="706"/>
      <c r="E22" s="706"/>
    </row>
    <row r="23" spans="2:5">
      <c r="B23" s="589"/>
    </row>
    <row r="24" spans="2:5">
      <c r="B24" s="707" t="s">
        <v>20</v>
      </c>
      <c r="C24" s="707"/>
      <c r="D24" s="707"/>
      <c r="E24" s="707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44140625" customWidth="1"/>
    <col min="11" max="11" width="77.44140625" customWidth="1"/>
  </cols>
  <sheetData>
    <row r="1" spans="2:15">
      <c r="B1" s="721"/>
      <c r="C1" s="722"/>
      <c r="D1" s="722"/>
      <c r="E1" s="722"/>
      <c r="F1" s="719" t="s">
        <v>44</v>
      </c>
      <c r="G1" s="719"/>
      <c r="H1" s="719"/>
      <c r="I1" s="719"/>
      <c r="J1" s="719"/>
      <c r="K1" s="720"/>
      <c r="L1" s="13"/>
      <c r="M1" s="13"/>
      <c r="N1" s="13"/>
      <c r="O1" s="13"/>
    </row>
    <row r="2" spans="2:15" ht="6.75" customHeight="1"/>
    <row r="3" spans="2:15" s="596" customFormat="1" ht="28.8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1" bestFit="1" customWidth="1"/>
    <col min="6" max="6" width="33.44140625" customWidth="1"/>
  </cols>
  <sheetData>
    <row r="1" spans="2:10" ht="15" thickBot="1"/>
    <row r="2" spans="2:10" ht="15.6" thickTop="1" thickBot="1">
      <c r="B2" s="723" t="s">
        <v>85</v>
      </c>
      <c r="C2" s="724"/>
      <c r="D2" s="724"/>
      <c r="E2" s="724"/>
      <c r="F2" s="725"/>
      <c r="G2" s="13"/>
      <c r="H2" s="13"/>
      <c r="I2" s="13"/>
      <c r="J2" s="13"/>
    </row>
    <row r="3" spans="2:10" ht="6.75" customHeight="1" thickTop="1"/>
    <row r="4" spans="2:10">
      <c r="B4" s="8" t="s">
        <v>86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87</v>
      </c>
      <c r="C5" s="12" t="s">
        <v>88</v>
      </c>
      <c r="D5" s="12"/>
      <c r="E5" s="12" t="s">
        <v>89</v>
      </c>
      <c r="F5" s="7"/>
    </row>
    <row r="6" spans="2:10">
      <c r="B6" s="10" t="s">
        <v>90</v>
      </c>
      <c r="C6" s="12" t="s">
        <v>88</v>
      </c>
      <c r="D6" s="12"/>
      <c r="E6" s="12"/>
      <c r="F6" s="7"/>
    </row>
    <row r="7" spans="2:10">
      <c r="B7" s="10" t="s">
        <v>91</v>
      </c>
      <c r="C7" s="12" t="s">
        <v>88</v>
      </c>
      <c r="D7" s="12"/>
      <c r="E7" s="12"/>
      <c r="F7" s="7"/>
    </row>
    <row r="8" spans="2:10">
      <c r="B8" s="10" t="s">
        <v>92</v>
      </c>
      <c r="C8" s="12" t="s">
        <v>88</v>
      </c>
      <c r="D8" s="12"/>
      <c r="E8" s="12" t="s">
        <v>93</v>
      </c>
      <c r="F8" s="7"/>
    </row>
    <row r="9" spans="2:10">
      <c r="B9" s="11" t="s">
        <v>94</v>
      </c>
      <c r="C9" s="11" t="s">
        <v>88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23" t="s">
        <v>95</v>
      </c>
      <c r="C16" s="724"/>
      <c r="D16" s="724"/>
      <c r="E16" s="724"/>
      <c r="F16" s="725"/>
    </row>
    <row r="17" spans="2:6" ht="15" thickTop="1"/>
    <row r="18" spans="2:6">
      <c r="B18" s="8" t="s">
        <v>86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96</v>
      </c>
      <c r="D19" s="12"/>
      <c r="E19" s="602">
        <v>45946</v>
      </c>
      <c r="F19" s="7" t="s">
        <v>97</v>
      </c>
    </row>
    <row r="20" spans="2:6">
      <c r="B20" s="10" t="s">
        <v>98</v>
      </c>
      <c r="C20" s="12"/>
      <c r="D20" s="12"/>
      <c r="E20" s="602"/>
      <c r="F20" s="7"/>
    </row>
    <row r="21" spans="2:6">
      <c r="B21" s="10" t="s">
        <v>99</v>
      </c>
      <c r="C21" s="12"/>
      <c r="D21" s="12"/>
      <c r="E21" s="602"/>
      <c r="F21" s="7"/>
    </row>
    <row r="22" spans="2:6">
      <c r="B22" s="10" t="s">
        <v>100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31" zoomScaleNormal="100" workbookViewId="0">
      <selection activeCell="A51" sqref="A51"/>
    </sheetView>
  </sheetViews>
  <sheetFormatPr defaultColWidth="8.44140625" defaultRowHeight="13.8"/>
  <cols>
    <col min="1" max="1" width="1.44140625" style="26" customWidth="1"/>
    <col min="2" max="2" width="6.44140625" style="82" bestFit="1" customWidth="1"/>
    <col min="3" max="3" width="46.5546875" style="4" bestFit="1" customWidth="1"/>
    <col min="4" max="4" width="3.44140625" style="26" customWidth="1"/>
    <col min="5" max="5" width="25.5546875" style="4" customWidth="1"/>
    <col min="6" max="6" width="9.44140625" style="79" customWidth="1"/>
    <col min="7" max="7" width="11.5546875" style="5" customWidth="1"/>
    <col min="8" max="8" width="8.4414062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5546875" style="26" customWidth="1"/>
    <col min="14" max="14" width="11.44140625" style="26" bestFit="1" customWidth="1"/>
    <col min="15" max="15" width="39.44140625" style="26" bestFit="1" customWidth="1"/>
    <col min="16" max="16" width="1.44140625" style="26" customWidth="1"/>
    <col min="17" max="17" width="5.5546875" style="1" customWidth="1"/>
    <col min="18" max="18" width="8.44140625" style="26" bestFit="1"/>
    <col min="19" max="19" width="42.5546875" style="26" bestFit="1" customWidth="1"/>
    <col min="20" max="20" width="10.44140625" style="26" bestFit="1" customWidth="1"/>
    <col min="21" max="21" width="9.44140625" style="26" bestFit="1" customWidth="1"/>
    <col min="22" max="22" width="10.44140625" style="26" bestFit="1" customWidth="1"/>
    <col min="23" max="23" width="8.44140625" style="26" bestFit="1"/>
    <col min="24" max="25" width="10.44140625" style="26" bestFit="1" customWidth="1"/>
    <col min="26" max="26" width="8.44140625" style="4" bestFit="1"/>
    <col min="27" max="16384" width="8.4414062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46064</v>
      </c>
      <c r="O1" s="303">
        <f ca="1">TODAY()</f>
        <v>46064</v>
      </c>
      <c r="Q1" s="1"/>
    </row>
    <row r="2" spans="2:28" ht="15" customHeight="1" thickBot="1">
      <c r="B2" s="87"/>
      <c r="C2" s="88" t="s">
        <v>101</v>
      </c>
      <c r="D2" s="89"/>
      <c r="E2" s="542" t="s">
        <v>102</v>
      </c>
      <c r="F2" s="543"/>
      <c r="G2" s="543"/>
      <c r="H2" s="544"/>
      <c r="I2" s="726" t="s">
        <v>103</v>
      </c>
      <c r="J2" s="727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4" thickBot="1">
      <c r="B3" s="90"/>
      <c r="C3" s="91" t="s">
        <v>104</v>
      </c>
      <c r="D3" s="89"/>
      <c r="E3" s="310">
        <v>250</v>
      </c>
      <c r="F3" s="92"/>
      <c r="G3" s="93"/>
      <c r="H3" s="93"/>
      <c r="I3" s="726" t="s">
        <v>105</v>
      </c>
      <c r="J3" s="727"/>
      <c r="K3" s="563">
        <f>K2/5</f>
        <v>5.4</v>
      </c>
      <c r="Q3" s="1"/>
    </row>
    <row r="4" spans="2:28" s="26" customFormat="1" ht="14.4" thickBot="1">
      <c r="B4" s="90"/>
      <c r="C4" s="91" t="s">
        <v>106</v>
      </c>
      <c r="D4" s="89"/>
      <c r="E4" s="541" t="s">
        <v>107</v>
      </c>
      <c r="F4" s="93"/>
      <c r="G4" s="93"/>
      <c r="H4" s="93"/>
      <c r="I4" s="726" t="s">
        <v>108</v>
      </c>
      <c r="J4" s="727"/>
      <c r="K4" s="564">
        <f>E3/K3</f>
        <v>46.296296296296291</v>
      </c>
      <c r="Q4" s="1"/>
    </row>
    <row r="5" spans="2:28" s="26" customFormat="1">
      <c r="B5" s="90"/>
      <c r="C5" s="91" t="s">
        <v>109</v>
      </c>
      <c r="D5" s="89"/>
      <c r="E5" s="541" t="s">
        <v>110</v>
      </c>
      <c r="F5" s="93"/>
      <c r="G5" s="93"/>
      <c r="H5" s="603"/>
      <c r="Q5" s="1"/>
    </row>
    <row r="6" spans="2:28">
      <c r="B6" s="94"/>
      <c r="C6" s="95" t="s">
        <v>111</v>
      </c>
      <c r="D6" s="89"/>
      <c r="E6" s="520">
        <v>2581531</v>
      </c>
      <c r="F6" s="545"/>
      <c r="G6" s="545"/>
      <c r="H6" s="546"/>
    </row>
    <row r="7" spans="2:28" s="26" customFormat="1">
      <c r="B7" s="78"/>
      <c r="C7" s="693" t="s">
        <v>112</v>
      </c>
      <c r="D7" s="613"/>
      <c r="E7" s="694" t="s">
        <v>113</v>
      </c>
      <c r="F7" s="695"/>
      <c r="G7" s="696"/>
      <c r="H7" s="613"/>
      <c r="J7" s="27"/>
      <c r="Q7" s="1"/>
    </row>
    <row r="8" spans="2:28" ht="30" customHeight="1">
      <c r="B8" s="730" t="s">
        <v>114</v>
      </c>
      <c r="C8" s="731" t="s">
        <v>115</v>
      </c>
      <c r="D8" s="124"/>
      <c r="E8" s="732" t="s">
        <v>116</v>
      </c>
      <c r="F8" s="732" t="s">
        <v>117</v>
      </c>
      <c r="G8" s="732" t="s">
        <v>118</v>
      </c>
      <c r="H8" s="147"/>
      <c r="I8" s="732" t="s">
        <v>119</v>
      </c>
      <c r="J8" s="146" t="s">
        <v>117</v>
      </c>
      <c r="K8" s="732" t="s">
        <v>120</v>
      </c>
      <c r="M8" s="560" t="s">
        <v>51</v>
      </c>
      <c r="N8" s="561" t="s">
        <v>121</v>
      </c>
      <c r="O8" s="728" t="s">
        <v>122</v>
      </c>
      <c r="Z8" s="26"/>
      <c r="AA8" s="26"/>
      <c r="AB8" s="26"/>
    </row>
    <row r="9" spans="2:28">
      <c r="B9" s="730"/>
      <c r="C9" s="731"/>
      <c r="D9" s="124"/>
      <c r="E9" s="732"/>
      <c r="F9" s="733"/>
      <c r="G9" s="732"/>
      <c r="H9" s="147"/>
      <c r="I9" s="732"/>
      <c r="J9" s="40">
        <f>K40-I20</f>
        <v>36</v>
      </c>
      <c r="K9" s="732"/>
      <c r="M9" s="263">
        <f>AVERAGE(M11,M19,M22,M29,M36,M40,M50,M45)</f>
        <v>0.91283508158508153</v>
      </c>
      <c r="N9" s="263">
        <f ca="1">AVERAGE(N11,N19,N22,N29,N36,N40,N50,N45)</f>
        <v>0.90619476249984576</v>
      </c>
      <c r="O9" s="729"/>
      <c r="S9" s="562">
        <f ca="1">TODAY()</f>
        <v>46064</v>
      </c>
      <c r="T9" s="562">
        <f ca="1">TODAY()</f>
        <v>46064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>
      <c r="B11" s="153">
        <v>1</v>
      </c>
      <c r="C11" s="154" t="s">
        <v>123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>
      <c r="B12" s="155" t="s">
        <v>124</v>
      </c>
      <c r="C12" s="156" t="s">
        <v>125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126</v>
      </c>
      <c r="T12" s="514" t="s">
        <v>127</v>
      </c>
      <c r="U12" s="514" t="s">
        <v>117</v>
      </c>
      <c r="V12" s="514" t="s">
        <v>128</v>
      </c>
    </row>
    <row r="13" spans="2:28" s="26" customFormat="1">
      <c r="B13" s="155" t="s">
        <v>129</v>
      </c>
      <c r="C13" s="156" t="s">
        <v>130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 t="s">
        <v>131</v>
      </c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132</v>
      </c>
      <c r="C14" s="156" t="s">
        <v>133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134</v>
      </c>
      <c r="C15" s="156" t="s">
        <v>135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136</v>
      </c>
      <c r="C16" s="156" t="s">
        <v>137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138</v>
      </c>
      <c r="C17" s="156" t="s">
        <v>139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>
      <c r="B19" s="153">
        <v>2</v>
      </c>
      <c r="C19" s="154" t="s">
        <v>140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141</v>
      </c>
      <c r="C20" s="156" t="s">
        <v>142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76</v>
      </c>
      <c r="V20" s="515">
        <f>K45</f>
        <v>46064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88</v>
      </c>
      <c r="V21" s="515">
        <f>K50</f>
        <v>46077</v>
      </c>
    </row>
    <row r="22" spans="2:28" s="28" customFormat="1">
      <c r="B22" s="153">
        <v>3</v>
      </c>
      <c r="C22" s="154" t="s">
        <v>143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144</v>
      </c>
      <c r="C23" s="156" t="s">
        <v>145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146</v>
      </c>
      <c r="C24" s="156" t="s">
        <v>147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148</v>
      </c>
      <c r="C25" s="156" t="s">
        <v>149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150</v>
      </c>
      <c r="C26" s="156" t="s">
        <v>151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152</v>
      </c>
      <c r="C27" s="156" t="s">
        <v>153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>
      <c r="B29" s="153">
        <v>4</v>
      </c>
      <c r="C29" s="154" t="s">
        <v>154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551">
        <f>(J31*M31+J32*M32+J34*M34)/SUM(J31:J34)</f>
        <v>0.90909090909090906</v>
      </c>
      <c r="N29" s="551">
        <f ca="1">(K31*N31+K32*N32+K34*N34)/SUM(K31:K34)</f>
        <v>0.75002311528817966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155</v>
      </c>
      <c r="C31" s="156" t="s">
        <v>156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157</v>
      </c>
      <c r="C32" s="156" t="s">
        <v>158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159</v>
      </c>
      <c r="C33" s="156" t="s">
        <v>160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">
      <c r="B34" s="155" t="s">
        <v>161</v>
      </c>
      <c r="C34" s="152" t="s">
        <v>162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>
      <c r="B36" s="153">
        <v>5</v>
      </c>
      <c r="C36" s="154" t="s">
        <v>163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164</v>
      </c>
      <c r="C37" s="156" t="s">
        <v>165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166</v>
      </c>
      <c r="C38" s="156" t="s">
        <v>167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>
      <c r="B40" s="153">
        <v>6</v>
      </c>
      <c r="C40" s="154" t="s">
        <v>168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169</v>
      </c>
      <c r="C41" s="152" t="s">
        <v>170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171</v>
      </c>
      <c r="C42" s="152" t="s">
        <v>172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173</v>
      </c>
      <c r="C43" s="152" t="s">
        <v>174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>
      <c r="B45" s="153">
        <v>7</v>
      </c>
      <c r="C45" s="154" t="s">
        <v>175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76</v>
      </c>
      <c r="K45" s="547">
        <f>MAX(K46:K49)</f>
        <v>46064</v>
      </c>
      <c r="L45" s="550"/>
      <c r="M45" s="551">
        <f>(J46*M46+J47*M47)/SUM(J46:J47)</f>
        <v>0.81666666666666676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176</v>
      </c>
      <c r="C46" s="152" t="s">
        <v>177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178</v>
      </c>
      <c r="C47" s="152" t="s">
        <v>179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11</v>
      </c>
      <c r="K47" s="558">
        <f>WORKDAY.INTL(I47,J47,1,Data!$C$3:$C$60)</f>
        <v>46041</v>
      </c>
      <c r="L47" s="76"/>
      <c r="M47" s="555">
        <v>0.8</v>
      </c>
      <c r="N47" s="555">
        <f t="shared" ca="1" si="5"/>
        <v>1</v>
      </c>
      <c r="O47" s="36"/>
      <c r="Y47" s="4"/>
    </row>
    <row r="48" spans="2:28">
      <c r="B48" s="155" t="s">
        <v>180</v>
      </c>
      <c r="C48" s="152" t="s">
        <v>181</v>
      </c>
      <c r="D48" s="124"/>
      <c r="E48" s="558"/>
      <c r="F48" s="553"/>
      <c r="G48" s="558"/>
      <c r="H48" s="554"/>
      <c r="I48" s="558">
        <v>46058</v>
      </c>
      <c r="J48" s="553">
        <v>4</v>
      </c>
      <c r="K48" s="558">
        <f>WORKDAY.INTL(I48,J48,1,Data!$C$3:$C$60)</f>
        <v>46064</v>
      </c>
      <c r="L48" s="76"/>
      <c r="M48" s="701">
        <v>0</v>
      </c>
      <c r="N48" s="555">
        <f t="shared" ca="1" si="5"/>
        <v>1</v>
      </c>
      <c r="O48" s="33" t="s">
        <v>182</v>
      </c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>
      <c r="B50" s="153">
        <v>8</v>
      </c>
      <c r="C50" s="154" t="s">
        <v>183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88</v>
      </c>
      <c r="K50" s="547">
        <f>MAX(K51:K53)</f>
        <v>46077</v>
      </c>
      <c r="L50" s="550"/>
      <c r="M50" s="551">
        <f>(J51*M51+J52*M52+J53*M53)/SUM(J51:J53)</f>
        <v>0.57692307692307687</v>
      </c>
      <c r="N50" s="551">
        <f ca="1">(K47*N47+K43*N43+K51*N51+K52*N52+K53*N53)/SUM(K47:K53)</f>
        <v>0.49953498471058677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184</v>
      </c>
      <c r="C51" s="152" t="s">
        <v>185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10</v>
      </c>
      <c r="K51" s="558">
        <f>WORKDAY.INTL(I51,J51,1,Data!$C$3:$C$60)</f>
        <v>46003</v>
      </c>
      <c r="L51" s="76"/>
      <c r="M51" s="555">
        <v>0.75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186</v>
      </c>
      <c r="C52" s="152" t="s">
        <v>187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46072</v>
      </c>
      <c r="J52" s="553">
        <v>1</v>
      </c>
      <c r="K52" s="558">
        <f>WORKDAY.INTL(I52,J52,1,Data!$C$3:$C$60)</f>
        <v>46073</v>
      </c>
      <c r="L52" s="76"/>
      <c r="M52" s="555">
        <v>0</v>
      </c>
      <c r="N52" s="555">
        <f t="shared" ca="1" si="6"/>
        <v>0</v>
      </c>
      <c r="O52" s="36"/>
      <c r="Y52" s="4"/>
    </row>
    <row r="53" spans="2:28">
      <c r="B53" s="155" t="s">
        <v>188</v>
      </c>
      <c r="C53" s="152" t="s">
        <v>189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f>K52+1</f>
        <v>46074</v>
      </c>
      <c r="J53" s="553">
        <v>2</v>
      </c>
      <c r="K53" s="558">
        <f>WORKDAY.INTL(I53,J53,1,Data!$C$3:$C$60)</f>
        <v>46077</v>
      </c>
      <c r="L53" s="76"/>
      <c r="M53" s="555">
        <v>0</v>
      </c>
      <c r="N53" s="555">
        <f t="shared" ca="1" si="6"/>
        <v>0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5546875" style="4" customWidth="1"/>
    <col min="5" max="5" width="9.5546875" style="4" customWidth="1"/>
    <col min="6" max="6" width="16.44140625" style="4" bestFit="1" customWidth="1"/>
    <col min="7" max="7" width="53.44140625" style="4" customWidth="1"/>
    <col min="8" max="16384" width="8.4414062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14.4">
      <c r="A2" s="124"/>
      <c r="B2" s="14" t="s">
        <v>190</v>
      </c>
      <c r="C2" s="14" t="s">
        <v>191</v>
      </c>
      <c r="D2" s="14" t="s">
        <v>46</v>
      </c>
      <c r="E2" s="14" t="s">
        <v>192</v>
      </c>
      <c r="F2" s="14" t="s">
        <v>193</v>
      </c>
      <c r="G2" s="14" t="s">
        <v>194</v>
      </c>
      <c r="H2" s="1"/>
    </row>
    <row r="3" spans="1:8">
      <c r="A3" s="124"/>
      <c r="B3" s="577" t="s">
        <v>195</v>
      </c>
      <c r="C3" s="577" t="s">
        <v>196</v>
      </c>
      <c r="D3" s="577" t="s">
        <v>197</v>
      </c>
      <c r="E3" s="580">
        <v>424</v>
      </c>
      <c r="F3" s="580"/>
      <c r="G3" s="577"/>
      <c r="H3" s="1"/>
    </row>
    <row r="4" spans="1:8">
      <c r="A4" s="124"/>
      <c r="B4" s="577" t="s">
        <v>198</v>
      </c>
      <c r="C4" s="577" t="s">
        <v>196</v>
      </c>
      <c r="D4" s="577" t="s">
        <v>199</v>
      </c>
      <c r="E4" s="580">
        <v>6000</v>
      </c>
      <c r="F4" s="580"/>
      <c r="G4" s="577"/>
      <c r="H4" s="1"/>
    </row>
    <row r="5" spans="1:8">
      <c r="A5" s="124"/>
      <c r="B5" s="577" t="s">
        <v>200</v>
      </c>
      <c r="C5" s="577" t="s">
        <v>196</v>
      </c>
      <c r="D5" s="577" t="s">
        <v>201</v>
      </c>
      <c r="E5" s="580">
        <v>4</v>
      </c>
      <c r="F5" s="580"/>
      <c r="G5" s="577"/>
      <c r="H5" s="1"/>
    </row>
    <row r="6" spans="1:8">
      <c r="A6" s="124"/>
      <c r="B6" s="577" t="s">
        <v>202</v>
      </c>
      <c r="C6" s="577" t="s">
        <v>203</v>
      </c>
      <c r="D6" s="577" t="s">
        <v>204</v>
      </c>
      <c r="E6" s="580"/>
      <c r="F6" s="580" t="s">
        <v>205</v>
      </c>
      <c r="G6" s="577" t="s">
        <v>206</v>
      </c>
      <c r="H6" s="1"/>
    </row>
    <row r="7" spans="1:8">
      <c r="A7" s="124"/>
      <c r="B7" s="577" t="s">
        <v>207</v>
      </c>
      <c r="C7" s="577"/>
      <c r="D7" s="577"/>
      <c r="E7" s="580"/>
      <c r="F7" s="580"/>
      <c r="G7" s="577"/>
      <c r="H7" s="1"/>
    </row>
    <row r="8" spans="1:8">
      <c r="A8" s="124"/>
      <c r="B8" s="577" t="s">
        <v>208</v>
      </c>
      <c r="C8" s="577"/>
      <c r="D8" s="577"/>
      <c r="E8" s="580"/>
      <c r="F8" s="580"/>
      <c r="G8" s="577"/>
      <c r="H8" s="1"/>
    </row>
    <row r="9" spans="1:8">
      <c r="A9" s="124"/>
      <c r="B9" s="577" t="s">
        <v>209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210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211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212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213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214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>
      <c r="A23" s="26"/>
      <c r="B23" s="579" t="s">
        <v>215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216</v>
      </c>
      <c r="C24" s="26"/>
      <c r="D24" s="26"/>
      <c r="E24" s="26"/>
      <c r="F24" s="26"/>
      <c r="G24" s="26"/>
    </row>
    <row r="25" spans="1:8">
      <c r="A25" s="26"/>
      <c r="B25" s="578" t="s">
        <v>217</v>
      </c>
      <c r="C25" s="26"/>
      <c r="D25" s="26"/>
      <c r="E25" s="26"/>
      <c r="F25" s="26"/>
      <c r="G25" s="26"/>
    </row>
    <row r="26" spans="1:8">
      <c r="A26" s="26"/>
      <c r="B26" s="578" t="s">
        <v>196</v>
      </c>
      <c r="C26" s="26"/>
      <c r="D26" s="26"/>
      <c r="E26" s="26"/>
      <c r="F26" s="26"/>
      <c r="G26" s="26"/>
    </row>
    <row r="27" spans="1:8">
      <c r="A27" s="26"/>
      <c r="B27" s="578" t="s">
        <v>218</v>
      </c>
      <c r="C27" s="26"/>
      <c r="D27" s="26"/>
      <c r="E27" s="26"/>
      <c r="F27" s="26"/>
      <c r="G27" s="26"/>
    </row>
    <row r="28" spans="1:8">
      <c r="A28" s="26"/>
      <c r="B28" s="578" t="s">
        <v>203</v>
      </c>
      <c r="C28" s="26"/>
      <c r="D28" s="26"/>
      <c r="E28" s="26"/>
      <c r="F28" s="26"/>
      <c r="G28" s="26"/>
    </row>
    <row r="29" spans="1:8">
      <c r="A29" s="26"/>
      <c r="B29" s="578" t="s">
        <v>219</v>
      </c>
      <c r="C29" s="26"/>
      <c r="D29" s="26"/>
      <c r="E29" s="26"/>
      <c r="F29" s="26"/>
      <c r="G29" s="26"/>
    </row>
    <row r="30" spans="1:8">
      <c r="A30" s="26"/>
      <c r="B30" s="578" t="s">
        <v>220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opLeftCell="A9" zoomScale="93" zoomScaleNormal="93" workbookViewId="0">
      <selection activeCell="D4" sqref="D4"/>
    </sheetView>
  </sheetViews>
  <sheetFormatPr defaultColWidth="8.44140625" defaultRowHeight="14.4"/>
  <cols>
    <col min="1" max="1" width="5.5546875" style="24" customWidth="1"/>
    <col min="2" max="2" width="5.5546875" style="44" customWidth="1"/>
    <col min="3" max="4" width="23.44140625" style="42" customWidth="1"/>
    <col min="5" max="5" width="6.5546875" style="42" customWidth="1"/>
    <col min="6" max="6" width="16.44140625" style="42" customWidth="1"/>
    <col min="7" max="7" width="3.44140625" style="42" customWidth="1"/>
    <col min="8" max="8" width="15.44140625" style="42" customWidth="1"/>
    <col min="9" max="9" width="1.44140625" style="42" customWidth="1"/>
    <col min="10" max="10" width="3.44140625" style="24" customWidth="1"/>
    <col min="11" max="11" width="1.44140625" style="86" customWidth="1"/>
    <col min="12" max="12" width="29.44140625" style="24" customWidth="1"/>
    <col min="13" max="13" width="1.44140625" style="42" customWidth="1"/>
    <col min="14" max="14" width="29.44140625" style="42" customWidth="1"/>
    <col min="15" max="15" width="1.44140625" style="42" customWidth="1"/>
    <col min="16" max="16" width="16.5546875" style="42" customWidth="1"/>
    <col min="17" max="17" width="5.5546875" style="42" customWidth="1"/>
    <col min="18" max="18" width="112.44140625" style="42" bestFit="1" customWidth="1"/>
    <col min="19" max="19" width="4.44140625" style="42" customWidth="1"/>
    <col min="20" max="20" width="14.44140625" style="42" customWidth="1"/>
    <col min="21" max="21" width="10.44140625" style="24" bestFit="1" customWidth="1"/>
    <col min="22" max="23" width="8.44140625" style="24" bestFit="1" customWidth="1"/>
    <col min="24" max="24" width="6.44140625" style="24" bestFit="1" customWidth="1"/>
    <col min="25" max="25" width="14.5546875" style="24" bestFit="1" customWidth="1"/>
    <col min="26" max="26" width="8.44140625" style="24"/>
    <col min="27" max="27" width="14.44140625" style="24" bestFit="1" customWidth="1"/>
    <col min="28" max="28" width="8.44140625" style="42"/>
    <col min="29" max="29" width="12.5546875" style="42" bestFit="1" customWidth="1"/>
    <col min="30" max="40" width="8.44140625" style="42"/>
    <col min="41" max="41" width="9.44140625" style="42" bestFit="1" customWidth="1"/>
    <col min="42" max="16384" width="8.4414062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221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.2">
      <c r="B3" s="31"/>
      <c r="D3" s="39" t="s">
        <v>222</v>
      </c>
      <c r="F3" s="39" t="s">
        <v>223</v>
      </c>
      <c r="H3" s="687"/>
      <c r="J3" s="52"/>
      <c r="L3" s="308" t="s">
        <v>224</v>
      </c>
      <c r="N3" s="308" t="s">
        <v>225</v>
      </c>
      <c r="S3" s="52"/>
      <c r="T3" s="607" t="s">
        <v>226</v>
      </c>
      <c r="U3" s="607" t="s">
        <v>227</v>
      </c>
      <c r="V3" s="607" t="s">
        <v>228</v>
      </c>
      <c r="W3" s="607" t="s">
        <v>229</v>
      </c>
      <c r="X3" s="607" t="s">
        <v>230</v>
      </c>
      <c r="Y3" s="607" t="s">
        <v>231</v>
      </c>
    </row>
    <row r="4" spans="1:41" s="24" customFormat="1" ht="13.2">
      <c r="B4" s="254">
        <v>1</v>
      </c>
      <c r="C4" s="255" t="s">
        <v>232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127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2792653.975977282</v>
      </c>
      <c r="W4" s="608">
        <f>SUMIFS('Expenditure Breakdown'!$Q:$Q,
        'Expenditure Breakdown'!$T:$T, "&gt;"&amp;DATE(2025,8,31),
        'Expenditure Breakdown'!$T:$T, "&lt;="&amp;DATE(2026,8,31))</f>
        <v>2684846.6775000002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2727994.4233701411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2580748.466</v>
      </c>
    </row>
    <row r="5" spans="1:41" s="24" customFormat="1" ht="15" customHeight="1">
      <c r="B5" s="254">
        <v>2</v>
      </c>
      <c r="C5" s="255" t="s">
        <v>233</v>
      </c>
      <c r="D5" s="256">
        <f>+'Expenditure Tracking'!F5</f>
        <v>2278170.85</v>
      </c>
      <c r="E5" s="257"/>
      <c r="F5" s="256">
        <f>+'Expenditure Tracking'!H5</f>
        <v>2684846.6775000002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234</v>
      </c>
      <c r="D6" s="256">
        <f>+D4-D5</f>
        <v>303360.14999999991</v>
      </c>
      <c r="E6" s="257"/>
      <c r="F6" s="256">
        <f>+F4-F5</f>
        <v>135208.24199583335</v>
      </c>
      <c r="H6" s="686"/>
      <c r="J6" s="52"/>
      <c r="L6" s="274">
        <v>129018.87249999959</v>
      </c>
      <c r="N6" s="274" t="s">
        <v>235</v>
      </c>
      <c r="S6" s="52"/>
    </row>
    <row r="7" spans="1:41" s="24" customFormat="1" ht="15" customHeight="1" thickBot="1">
      <c r="B7" s="254">
        <v>4</v>
      </c>
      <c r="C7" s="255" t="s">
        <v>236</v>
      </c>
      <c r="D7" s="258">
        <f>+D6/D4</f>
        <v>0.11751172075795328</v>
      </c>
      <c r="E7" s="257"/>
      <c r="F7" s="258">
        <f>+F6/F4</f>
        <v>4.7945251371205824E-2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.2">
      <c r="B10" s="41" t="s">
        <v>237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.4">
      <c r="B12" s="45" t="s">
        <v>114</v>
      </c>
      <c r="C12" s="46" t="s">
        <v>238</v>
      </c>
      <c r="D12" s="47"/>
      <c r="E12" s="45" t="s">
        <v>239</v>
      </c>
      <c r="F12" s="45" t="s">
        <v>240</v>
      </c>
      <c r="H12" s="259" t="s">
        <v>241</v>
      </c>
      <c r="J12" s="52"/>
      <c r="L12" s="77" t="s">
        <v>242</v>
      </c>
      <c r="M12" s="48"/>
      <c r="N12" s="77" t="s">
        <v>243</v>
      </c>
      <c r="O12" s="48"/>
      <c r="P12" s="77" t="s">
        <v>244</v>
      </c>
      <c r="R12" s="277" t="s">
        <v>245</v>
      </c>
      <c r="S12" s="52"/>
    </row>
    <row r="13" spans="1:41" s="24" customFormat="1" ht="13.2">
      <c r="B13" s="565">
        <v>1</v>
      </c>
      <c r="C13" s="704" t="s">
        <v>246</v>
      </c>
      <c r="D13" s="705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247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3.2">
      <c r="B14" s="574">
        <v>2</v>
      </c>
      <c r="C14" s="704" t="s">
        <v>248</v>
      </c>
      <c r="D14" s="705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247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3.2">
      <c r="B15" s="565">
        <v>3</v>
      </c>
      <c r="C15" s="704" t="s">
        <v>249</v>
      </c>
      <c r="D15" s="705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247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3.2">
      <c r="B16" s="574">
        <v>4</v>
      </c>
      <c r="C16" s="702" t="s">
        <v>250</v>
      </c>
      <c r="D16" s="703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247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3.2">
      <c r="B17" s="565">
        <v>5</v>
      </c>
      <c r="C17" s="702" t="s">
        <v>251</v>
      </c>
      <c r="D17" s="703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252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3.2">
      <c r="B18" s="565">
        <v>6</v>
      </c>
      <c r="C18" s="702" t="s">
        <v>253</v>
      </c>
      <c r="D18" s="703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252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3.2">
      <c r="B19" s="574">
        <v>7</v>
      </c>
      <c r="C19" s="702" t="s">
        <v>254</v>
      </c>
      <c r="D19" s="703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252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3.2">
      <c r="B20" s="565">
        <v>8</v>
      </c>
      <c r="C20" s="702" t="s">
        <v>255</v>
      </c>
      <c r="D20" s="703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256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3.2">
      <c r="B21" s="574">
        <v>9</v>
      </c>
      <c r="C21" s="702" t="s">
        <v>257</v>
      </c>
      <c r="D21" s="703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46066</v>
      </c>
      <c r="R21" s="278"/>
      <c r="S21" s="52"/>
    </row>
    <row r="22" spans="2:19" s="24" customFormat="1" ht="13.2">
      <c r="B22" s="574"/>
      <c r="C22" s="702" t="s">
        <v>258</v>
      </c>
      <c r="D22" s="703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256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3.2">
      <c r="B23" s="565">
        <v>10</v>
      </c>
      <c r="C23" s="702" t="s">
        <v>259</v>
      </c>
      <c r="D23" s="703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46156</v>
      </c>
      <c r="R23" s="278" t="s">
        <v>260</v>
      </c>
      <c r="S23" s="52"/>
    </row>
    <row r="24" spans="2:19" s="24" customFormat="1" ht="13.2">
      <c r="B24" s="565">
        <v>11</v>
      </c>
      <c r="C24" s="702" t="s">
        <v>261</v>
      </c>
      <c r="D24" s="703"/>
      <c r="E24" s="597">
        <v>0</v>
      </c>
      <c r="F24" s="566">
        <f>'Expenditure Breakdown'!O175</f>
        <v>23350</v>
      </c>
      <c r="G24" s="575"/>
      <c r="H24" s="568">
        <f>H20</f>
        <v>45982</v>
      </c>
      <c r="I24" s="569"/>
      <c r="J24" s="570"/>
      <c r="K24" s="569"/>
      <c r="L24" s="571" t="s">
        <v>256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3.2">
      <c r="B25" s="565"/>
      <c r="C25" s="704" t="s">
        <v>262</v>
      </c>
      <c r="D25" s="705"/>
      <c r="E25" s="597">
        <v>0</v>
      </c>
      <c r="F25" s="700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46066</v>
      </c>
      <c r="R25" s="278"/>
      <c r="S25" s="52"/>
    </row>
    <row r="26" spans="2:19" s="24" customFormat="1" ht="13.2">
      <c r="B26" s="565"/>
      <c r="C26" s="704" t="s">
        <v>263</v>
      </c>
      <c r="D26" s="705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256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3.2">
      <c r="B27" s="574">
        <v>12</v>
      </c>
      <c r="C27" s="704" t="s">
        <v>264</v>
      </c>
      <c r="D27" s="705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256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.2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265</v>
      </c>
      <c r="C31" s="56" t="s">
        <v>266</v>
      </c>
      <c r="D31" s="56"/>
      <c r="F31" s="601"/>
      <c r="H31" s="30"/>
    </row>
    <row r="32" spans="2:19" s="24" customFormat="1" ht="13.2">
      <c r="C32" s="58" t="s">
        <v>267</v>
      </c>
      <c r="D32" s="59"/>
      <c r="F32" s="60"/>
    </row>
    <row r="33" spans="2:14" s="24" customFormat="1" ht="13.2">
      <c r="C33" s="58" t="s">
        <v>268</v>
      </c>
      <c r="D33" s="59"/>
    </row>
    <row r="34" spans="2:14" s="24" customFormat="1" ht="13.2">
      <c r="C34" s="61" t="s">
        <v>269</v>
      </c>
      <c r="D34" s="62"/>
    </row>
    <row r="35" spans="2:14" s="24" customFormat="1" ht="13.2">
      <c r="C35" s="63" t="s">
        <v>270</v>
      </c>
      <c r="D35" s="59"/>
    </row>
    <row r="36" spans="2:14" s="24" customFormat="1" ht="13.2">
      <c r="B36" s="31"/>
      <c r="C36" s="63" t="s">
        <v>271</v>
      </c>
      <c r="D36" s="59"/>
    </row>
    <row r="37" spans="2:14" s="24" customFormat="1" ht="13.2">
      <c r="B37" s="31"/>
      <c r="C37" s="24" t="s">
        <v>272</v>
      </c>
    </row>
    <row r="38" spans="2:14" s="24" customFormat="1" ht="27.75" customHeight="1">
      <c r="B38" s="31"/>
      <c r="C38" s="64" t="s">
        <v>273</v>
      </c>
      <c r="D38" s="64"/>
      <c r="F38" s="60"/>
    </row>
    <row r="39" spans="2:14" s="24" customFormat="1" ht="13.2">
      <c r="B39" s="31"/>
      <c r="F39" s="57"/>
      <c r="N39" s="30"/>
    </row>
    <row r="40" spans="2:14" s="24" customFormat="1" ht="13.2">
      <c r="B40" s="31"/>
      <c r="F40" s="57"/>
    </row>
    <row r="41" spans="2:14" s="24" customFormat="1" ht="13.2">
      <c r="B41" s="31"/>
      <c r="F41" s="57"/>
      <c r="H41" s="662"/>
    </row>
    <row r="42" spans="2:14" s="24" customFormat="1" ht="13.2">
      <c r="B42" s="31"/>
      <c r="F42" s="57"/>
    </row>
    <row r="43" spans="2:14" s="24" customFormat="1" ht="13.2">
      <c r="B43" s="31"/>
    </row>
    <row r="44" spans="2:14" s="24" customFormat="1" ht="13.2">
      <c r="B44" s="31"/>
    </row>
    <row r="45" spans="2:14" s="24" customFormat="1" ht="13.2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114</v>
      </c>
      <c r="C48" s="46" t="s">
        <v>238</v>
      </c>
      <c r="D48" s="47"/>
      <c r="E48" s="45" t="s">
        <v>239</v>
      </c>
      <c r="F48" s="45" t="s">
        <v>240</v>
      </c>
    </row>
    <row r="49" spans="2:6" s="24" customFormat="1" ht="12.75" hidden="1" customHeight="1">
      <c r="B49" s="65">
        <v>1</v>
      </c>
      <c r="C49" s="66" t="s">
        <v>274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275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276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277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113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278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3.2">
      <c r="B57" s="31"/>
    </row>
    <row r="58" spans="2:6" s="24" customFormat="1" ht="13.2">
      <c r="B58" s="31"/>
    </row>
    <row r="59" spans="2:6" s="24" customFormat="1" ht="13.2">
      <c r="B59" s="31"/>
    </row>
    <row r="60" spans="2:6" s="24" customFormat="1" ht="13.2">
      <c r="B60" s="31"/>
    </row>
    <row r="61" spans="2:6" s="24" customFormat="1" ht="13.2">
      <c r="B61" s="31"/>
    </row>
    <row r="62" spans="2:6" s="24" customFormat="1" ht="13.2">
      <c r="B62" s="31"/>
    </row>
    <row r="63" spans="2:6" s="24" customFormat="1" ht="13.2">
      <c r="B63" s="31"/>
    </row>
    <row r="64" spans="2:6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  <row r="220" spans="2:2" s="24" customFormat="1" ht="13.2">
      <c r="B220" s="31"/>
    </row>
    <row r="221" spans="2:2" s="24" customFormat="1" ht="13.2">
      <c r="B221" s="31"/>
    </row>
    <row r="222" spans="2:2" s="24" customFormat="1" ht="13.2">
      <c r="B222" s="31"/>
    </row>
    <row r="223" spans="2:2" s="24" customFormat="1" ht="13.2">
      <c r="B223" s="31"/>
    </row>
    <row r="224" spans="2:2" s="24" customFormat="1" ht="13.2">
      <c r="B224" s="31"/>
    </row>
    <row r="225" spans="2:2" s="24" customFormat="1" ht="13.2">
      <c r="B225" s="31"/>
    </row>
    <row r="226" spans="2:2" s="24" customFormat="1" ht="13.2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B1" zoomScaleNormal="100" workbookViewId="0">
      <pane ySplit="7" topLeftCell="A28" activePane="bottomLeft" state="frozen"/>
      <selection activeCell="F28" sqref="F28"/>
      <selection pane="bottomLeft" activeCell="F28" sqref="F28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4414062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>
      <c r="A2" s="124"/>
      <c r="B2" s="128" t="s">
        <v>279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4" thickBot="1">
      <c r="A4" s="124"/>
      <c r="B4" s="734"/>
      <c r="C4" s="734"/>
      <c r="D4" s="734"/>
      <c r="E4" s="311"/>
      <c r="F4" s="129" t="s">
        <v>222</v>
      </c>
      <c r="G4" s="124"/>
      <c r="H4" s="129" t="s">
        <v>223</v>
      </c>
      <c r="I4" s="124"/>
      <c r="J4" s="130" t="s">
        <v>280</v>
      </c>
      <c r="K4" s="26"/>
      <c r="L4" s="26"/>
    </row>
    <row r="5" spans="1:12" ht="14.4" thickBot="1">
      <c r="A5" s="124"/>
      <c r="B5" s="735" t="s">
        <v>281</v>
      </c>
      <c r="C5" s="735"/>
      <c r="D5" s="735"/>
      <c r="E5" s="311"/>
      <c r="F5" s="131">
        <f>SUM(F9:F23)</f>
        <v>2278170.85</v>
      </c>
      <c r="G5" s="126"/>
      <c r="H5" s="131">
        <f>SUM(H9:H23)</f>
        <v>2684846.6775000002</v>
      </c>
      <c r="I5" s="124"/>
      <c r="J5" s="132">
        <f>SUM(J9:J23)</f>
        <v>-406675.82750000013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7" thickBot="1">
      <c r="A7" s="124"/>
      <c r="B7" s="134" t="s">
        <v>114</v>
      </c>
      <c r="C7" s="135"/>
      <c r="D7" s="134" t="s">
        <v>190</v>
      </c>
      <c r="E7" s="135"/>
      <c r="F7" s="136" t="s">
        <v>282</v>
      </c>
      <c r="G7" s="137"/>
      <c r="H7" s="136" t="s">
        <v>283</v>
      </c>
      <c r="I7" s="137"/>
      <c r="J7" s="136" t="s">
        <v>284</v>
      </c>
      <c r="K7" s="83"/>
      <c r="L7" s="29" t="s">
        <v>285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48031</v>
      </c>
      <c r="I11" s="23"/>
      <c r="J11" s="141">
        <f t="shared" si="0"/>
        <v>52009</v>
      </c>
      <c r="K11" s="84"/>
      <c r="L11" s="157"/>
    </row>
    <row r="12" spans="1:12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143126.91999999998</v>
      </c>
      <c r="I12" s="23"/>
      <c r="J12" s="141">
        <f t="shared" si="0"/>
        <v>18799.080000000016</v>
      </c>
      <c r="K12" s="84"/>
      <c r="L12" s="157"/>
    </row>
    <row r="13" spans="1:12">
      <c r="A13" s="124"/>
      <c r="B13" s="138">
        <f>'Expenditure Breakdown'!L44</f>
        <v>5</v>
      </c>
      <c r="C13" s="127"/>
      <c r="D13" s="139" t="str">
        <f>'Expenditure Breakdown'!M44</f>
        <v>5. Monitoring</v>
      </c>
      <c r="E13" s="142"/>
      <c r="F13" s="140">
        <f>'Expenditure Breakdown'!I44</f>
        <v>148000</v>
      </c>
      <c r="G13" s="21"/>
      <c r="H13" s="140">
        <f>'Expenditure Breakdown'!X44</f>
        <v>105182.45</v>
      </c>
      <c r="I13" s="23"/>
      <c r="J13" s="141">
        <f t="shared" si="0"/>
        <v>42817.55</v>
      </c>
      <c r="K13" s="84"/>
      <c r="L13" s="157"/>
    </row>
    <row r="14" spans="1:12">
      <c r="A14" s="124"/>
      <c r="B14" s="138">
        <f>'Expenditure Breakdown'!L53</f>
        <v>6</v>
      </c>
      <c r="C14" s="127"/>
      <c r="D14" s="139" t="str">
        <f>'Expenditure Breakdown'!M53</f>
        <v>6. AC Equipment</v>
      </c>
      <c r="E14" s="142"/>
      <c r="F14" s="140">
        <f>'Expenditure Breakdown'!I53</f>
        <v>278660.59999999998</v>
      </c>
      <c r="G14" s="21"/>
      <c r="H14" s="140">
        <f>'Expenditure Breakdown'!X53</f>
        <v>389809.96</v>
      </c>
      <c r="I14" s="23"/>
      <c r="J14" s="141">
        <f t="shared" si="0"/>
        <v>-111149.36000000004</v>
      </c>
      <c r="K14" s="84"/>
      <c r="L14" s="157" t="s">
        <v>286</v>
      </c>
    </row>
    <row r="15" spans="1:12">
      <c r="A15" s="124"/>
      <c r="B15" s="138">
        <f>'Expenditure Breakdown'!L71</f>
        <v>7</v>
      </c>
      <c r="C15" s="127"/>
      <c r="D15" s="139" t="str">
        <f>'Expenditure Breakdown'!M71</f>
        <v>7.BESS</v>
      </c>
      <c r="E15" s="142"/>
      <c r="F15" s="140">
        <f>'Expenditure Breakdown'!I71</f>
        <v>0</v>
      </c>
      <c r="G15" s="21"/>
      <c r="H15" s="140">
        <f>'Expenditure Breakdown'!X71</f>
        <v>0</v>
      </c>
      <c r="I15" s="23"/>
      <c r="J15" s="141">
        <f t="shared" si="0"/>
        <v>0</v>
      </c>
      <c r="K15" s="84"/>
      <c r="L15" s="157"/>
    </row>
    <row r="16" spans="1:12">
      <c r="A16" s="124"/>
      <c r="B16" s="138">
        <f>'Expenditure Breakdown'!L80</f>
        <v>8</v>
      </c>
      <c r="C16" s="127"/>
      <c r="D16" s="139" t="str">
        <f>'Expenditure Breakdown'!M80</f>
        <v xml:space="preserve">8. Product Add On </v>
      </c>
      <c r="E16" s="142"/>
      <c r="F16" s="140">
        <f>'Expenditure Breakdown'!I80</f>
        <v>469833.45</v>
      </c>
      <c r="G16" s="21"/>
      <c r="H16" s="140">
        <f>'Expenditure Breakdown'!X80</f>
        <v>533564.02</v>
      </c>
      <c r="I16" s="23"/>
      <c r="J16" s="141">
        <f t="shared" si="0"/>
        <v>-63730.570000000007</v>
      </c>
      <c r="K16" s="84"/>
      <c r="L16" s="157"/>
    </row>
    <row r="17" spans="1:12">
      <c r="A17" s="124"/>
      <c r="B17" s="138">
        <f>'Expenditure Breakdown'!L114</f>
        <v>9</v>
      </c>
      <c r="C17" s="127"/>
      <c r="D17" s="139" t="str">
        <f>'Expenditure Breakdown'!M114</f>
        <v>9. AC &amp; DC installation</v>
      </c>
      <c r="E17" s="142"/>
      <c r="F17" s="140">
        <f>'Expenditure Breakdown'!I114</f>
        <v>198850</v>
      </c>
      <c r="G17" s="21"/>
      <c r="H17" s="140">
        <f>'Expenditure Breakdown'!X114</f>
        <v>361334.00000000006</v>
      </c>
      <c r="I17" s="23"/>
      <c r="J17" s="141">
        <f t="shared" si="0"/>
        <v>-162484.00000000006</v>
      </c>
      <c r="K17" s="84"/>
      <c r="L17" s="619"/>
    </row>
    <row r="18" spans="1:12">
      <c r="A18" s="124"/>
      <c r="B18" s="138">
        <f>'Expenditure Breakdown'!L127</f>
        <v>10</v>
      </c>
      <c r="C18" s="127"/>
      <c r="D18" s="139" t="str">
        <f>'Expenditure Breakdown'!M127</f>
        <v>10. Site Logistics</v>
      </c>
      <c r="E18" s="21"/>
      <c r="F18" s="140">
        <f>'Expenditure Breakdown'!I127</f>
        <v>56854.45</v>
      </c>
      <c r="G18" s="21"/>
      <c r="H18" s="140">
        <f>'Expenditure Breakdown'!X127</f>
        <v>176150.50999999998</v>
      </c>
      <c r="I18" s="23"/>
      <c r="J18" s="141">
        <f t="shared" si="0"/>
        <v>-119296.05999999998</v>
      </c>
      <c r="K18" s="84"/>
      <c r="L18" s="157"/>
    </row>
    <row r="19" spans="1:12">
      <c r="A19" s="124"/>
      <c r="B19" s="138">
        <f>'Expenditure Breakdown'!L143</f>
        <v>11</v>
      </c>
      <c r="C19" s="127"/>
      <c r="D19" s="139" t="str">
        <f>'Expenditure Breakdown'!M143</f>
        <v>11. Due Dilligence</v>
      </c>
      <c r="E19" s="21"/>
      <c r="F19" s="140">
        <f>'Expenditure Breakdown'!I143</f>
        <v>29000</v>
      </c>
      <c r="G19" s="21"/>
      <c r="H19" s="140">
        <f>'Expenditure Breakdown'!X143</f>
        <v>161123.5</v>
      </c>
      <c r="I19" s="23"/>
      <c r="J19" s="141">
        <f t="shared" si="0"/>
        <v>-132123.5</v>
      </c>
      <c r="K19" s="84"/>
      <c r="L19" s="157"/>
    </row>
    <row r="20" spans="1:12">
      <c r="A20" s="124"/>
      <c r="B20" s="138">
        <f>'Expenditure Breakdown'!L151</f>
        <v>12</v>
      </c>
      <c r="C20" s="127"/>
      <c r="D20" s="139" t="str">
        <f>'Expenditure Breakdown'!M151</f>
        <v>12. BDP Commission</v>
      </c>
      <c r="E20" s="21"/>
      <c r="F20" s="140">
        <f>'Expenditure Breakdown'!I151</f>
        <v>0</v>
      </c>
      <c r="G20" s="21"/>
      <c r="H20" s="140">
        <f>'Expenditure Breakdown'!X151</f>
        <v>0</v>
      </c>
      <c r="I20" s="23"/>
      <c r="J20" s="141">
        <f t="shared" si="0"/>
        <v>0</v>
      </c>
      <c r="K20" s="84"/>
      <c r="L20" s="157"/>
    </row>
    <row r="21" spans="1:12">
      <c r="A21" s="124"/>
      <c r="B21" s="138">
        <f>'Expenditure Breakdown'!L154</f>
        <v>13</v>
      </c>
      <c r="C21" s="127"/>
      <c r="D21" s="139" t="str">
        <f>'Expenditure Breakdown'!M155</f>
        <v>13. Engineering</v>
      </c>
      <c r="E21" s="21"/>
      <c r="F21" s="140">
        <f>'Expenditure Breakdown'!I154</f>
        <v>22271.14</v>
      </c>
      <c r="G21" s="21"/>
      <c r="H21" s="140">
        <f>'Expenditure Breakdown'!X154</f>
        <v>32269.137500000001</v>
      </c>
      <c r="I21" s="23"/>
      <c r="J21" s="141">
        <f t="shared" si="0"/>
        <v>-9997.9975000000013</v>
      </c>
      <c r="K21" s="84"/>
      <c r="L21" s="157"/>
    </row>
    <row r="22" spans="1:12">
      <c r="A22" s="124"/>
      <c r="B22" s="138">
        <f>'Expenditure Breakdown'!L161</f>
        <v>14</v>
      </c>
      <c r="C22" s="127"/>
      <c r="D22" s="139" t="str">
        <f>'Expenditure Breakdown'!M161</f>
        <v>14. General Expenses</v>
      </c>
      <c r="E22" s="21"/>
      <c r="F22" s="140">
        <f>'Expenditure Breakdown'!I161</f>
        <v>4375</v>
      </c>
      <c r="G22" s="21"/>
      <c r="H22" s="140">
        <f>'Expenditure Breakdown'!X161</f>
        <v>33994.93</v>
      </c>
      <c r="I22" s="23"/>
      <c r="J22" s="141">
        <f t="shared" si="0"/>
        <v>-29619.93</v>
      </c>
      <c r="K22" s="84"/>
      <c r="L22" s="157"/>
    </row>
    <row r="23" spans="1:12">
      <c r="A23" s="124"/>
      <c r="B23" s="138">
        <f>'Expenditure Breakdown'!L174</f>
        <v>15</v>
      </c>
      <c r="C23" s="127"/>
      <c r="D23" s="139" t="str">
        <f>'Expenditure Breakdown'!M174</f>
        <v>15. Service Add On</v>
      </c>
      <c r="E23" s="21"/>
      <c r="F23" s="140">
        <f>'Expenditure Breakdown'!I174</f>
        <v>0</v>
      </c>
      <c r="G23" s="21"/>
      <c r="H23" s="140">
        <f>'Expenditure Breakdown'!X174</f>
        <v>38023.93</v>
      </c>
      <c r="I23" s="23"/>
      <c r="J23" s="141">
        <f t="shared" si="0"/>
        <v>-38023.93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287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R1" zoomScale="70" zoomScaleNormal="70" workbookViewId="0">
      <pane ySplit="4" topLeftCell="A133" activePane="bottomLeft" state="frozen"/>
      <selection activeCell="F28" sqref="F28"/>
      <selection pane="bottomLeft" activeCell="W149" sqref="W149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32.44140625" style="4" customWidth="1"/>
    <col min="4" max="4" width="51.5546875" style="4" customWidth="1"/>
    <col min="5" max="5" width="13" style="6" customWidth="1"/>
    <col min="6" max="6" width="16.5546875" style="370" customWidth="1"/>
    <col min="7" max="8" width="17.44140625" style="4" customWidth="1"/>
    <col min="9" max="10" width="22.44140625" style="252" customWidth="1"/>
    <col min="11" max="11" width="5.5546875" style="26" hidden="1" customWidth="1"/>
    <col min="12" max="12" width="4.5546875" style="26" bestFit="1" customWidth="1"/>
    <col min="13" max="13" width="22.5546875" style="26" bestFit="1" customWidth="1"/>
    <col min="14" max="14" width="40.44140625" style="26" bestFit="1" customWidth="1"/>
    <col min="15" max="17" width="14.44140625" style="26" bestFit="1" customWidth="1"/>
    <col min="18" max="18" width="38.44140625" style="76" bestFit="1" customWidth="1"/>
    <col min="19" max="19" width="33.44140625" style="26" customWidth="1"/>
    <col min="20" max="20" width="14.44140625" style="429" bestFit="1" customWidth="1"/>
    <col min="21" max="21" width="14.88671875" style="429" bestFit="1" customWidth="1"/>
    <col min="22" max="22" width="15.5546875" style="26" customWidth="1"/>
    <col min="23" max="23" width="16.5546875" style="429" bestFit="1" customWidth="1"/>
    <col min="24" max="24" width="15.44140625" style="26" bestFit="1" customWidth="1"/>
    <col min="25" max="25" width="27.5546875" style="26" bestFit="1" customWidth="1"/>
    <col min="26" max="26" width="25" style="26" customWidth="1"/>
    <col min="27" max="27" width="17.44140625" style="26" customWidth="1"/>
    <col min="28" max="28" width="64.44140625" style="26" bestFit="1" customWidth="1"/>
    <col min="29" max="29" width="17.44140625" style="26" customWidth="1"/>
    <col min="30" max="30" width="25" style="26" bestFit="1" customWidth="1"/>
    <col min="31" max="31" width="12.5546875" style="26" customWidth="1"/>
    <col min="32" max="32" width="17.44140625" style="26" customWidth="1"/>
    <col min="33" max="33" width="20.5546875" style="26" bestFit="1" customWidth="1"/>
    <col min="34" max="34" width="18.5546875" style="26" bestFit="1" customWidth="1"/>
    <col min="35" max="76" width="17.44140625" style="26" customWidth="1"/>
    <col min="77" max="16384" width="9.4414062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40" t="s">
        <v>288</v>
      </c>
      <c r="C2" s="741"/>
      <c r="D2" s="741"/>
      <c r="E2" s="741"/>
      <c r="F2" s="741"/>
      <c r="G2" s="741"/>
      <c r="H2" s="393"/>
      <c r="I2" s="160">
        <f>SUM(I6:I186)</f>
        <v>2278170.85</v>
      </c>
      <c r="J2" s="160">
        <f>SUM(J6:J186)</f>
        <v>2581529</v>
      </c>
      <c r="L2" s="742" t="s">
        <v>289</v>
      </c>
      <c r="M2" s="743"/>
      <c r="N2" s="743"/>
      <c r="O2" s="743"/>
      <c r="P2" s="743"/>
      <c r="Q2" s="743"/>
      <c r="R2" s="750" t="s">
        <v>290</v>
      </c>
      <c r="S2" s="751"/>
      <c r="T2" s="751"/>
      <c r="U2" s="751"/>
      <c r="V2" s="751"/>
      <c r="W2" s="752"/>
      <c r="X2" s="160">
        <f>SUM(X6:X186)</f>
        <v>2684846.6775000002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" thickBot="1">
      <c r="A4" s="76"/>
      <c r="B4" s="161" t="s">
        <v>291</v>
      </c>
      <c r="C4" s="162" t="s">
        <v>292</v>
      </c>
      <c r="D4" s="162" t="s">
        <v>293</v>
      </c>
      <c r="E4" s="162" t="s">
        <v>294</v>
      </c>
      <c r="F4" s="361" t="s">
        <v>295</v>
      </c>
      <c r="G4" s="163" t="s">
        <v>296</v>
      </c>
      <c r="H4" s="271" t="s">
        <v>297</v>
      </c>
      <c r="I4" s="164" t="s">
        <v>298</v>
      </c>
      <c r="J4" s="164" t="str">
        <f>IF(J2-'Revenue Tracking'!D4&gt;=0, "Total Revenue", "ERROR on REV" )</f>
        <v>ERROR on REV</v>
      </c>
      <c r="K4" s="76"/>
      <c r="L4" s="161" t="s">
        <v>291</v>
      </c>
      <c r="M4" s="162" t="s">
        <v>299</v>
      </c>
      <c r="N4" s="162" t="s">
        <v>293</v>
      </c>
      <c r="O4" s="162" t="s">
        <v>294</v>
      </c>
      <c r="P4" s="361" t="s">
        <v>295</v>
      </c>
      <c r="Q4" s="272" t="s">
        <v>300</v>
      </c>
      <c r="R4" s="477" t="s">
        <v>301</v>
      </c>
      <c r="S4" s="478" t="s">
        <v>242</v>
      </c>
      <c r="T4" s="500" t="s">
        <v>243</v>
      </c>
      <c r="U4" s="501" t="s">
        <v>302</v>
      </c>
      <c r="V4" s="272" t="s">
        <v>303</v>
      </c>
      <c r="W4" s="500" t="s">
        <v>304</v>
      </c>
      <c r="X4" s="164" t="s">
        <v>298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305</v>
      </c>
      <c r="D6" s="184" t="s">
        <v>306</v>
      </c>
      <c r="E6" s="185"/>
      <c r="F6" s="334"/>
      <c r="G6" s="290">
        <f>D187</f>
        <v>561360.21</v>
      </c>
      <c r="H6" s="526">
        <f>'Project Plan'!E37+60</f>
        <v>46039</v>
      </c>
      <c r="I6" s="744">
        <f>SUM(G6:G11)</f>
        <v>561360.21</v>
      </c>
      <c r="J6" s="747">
        <f>F187</f>
        <v>637909</v>
      </c>
      <c r="K6" s="287"/>
      <c r="L6" s="183">
        <v>1</v>
      </c>
      <c r="M6" s="314" t="s">
        <v>307</v>
      </c>
      <c r="N6" s="184" t="s">
        <v>308</v>
      </c>
      <c r="O6" s="499">
        <v>424</v>
      </c>
      <c r="P6" s="334">
        <v>1150.5</v>
      </c>
      <c r="Q6" s="290">
        <f>O6*P6</f>
        <v>487812</v>
      </c>
      <c r="R6" s="466"/>
      <c r="S6" s="480" t="s">
        <v>309</v>
      </c>
      <c r="T6" s="518">
        <v>45961</v>
      </c>
      <c r="U6" s="635">
        <v>637909</v>
      </c>
      <c r="V6" s="762">
        <f>J6-SUM(U6:U11)</f>
        <v>0</v>
      </c>
      <c r="W6" s="683">
        <v>46019</v>
      </c>
      <c r="X6" s="744">
        <f>SUM(Q6:Q11)</f>
        <v>487812</v>
      </c>
    </row>
    <row r="7" spans="1:76" ht="15" customHeight="1">
      <c r="B7" s="213">
        <v>1</v>
      </c>
      <c r="C7" s="315"/>
      <c r="D7" s="288" t="s">
        <v>310</v>
      </c>
      <c r="E7" s="289"/>
      <c r="F7" s="355"/>
      <c r="G7" s="217"/>
      <c r="H7" s="518"/>
      <c r="I7" s="745"/>
      <c r="J7" s="748"/>
      <c r="K7" s="190"/>
      <c r="L7" s="213">
        <v>1</v>
      </c>
      <c r="M7" s="215" t="s">
        <v>307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0" si="0">IF(W7&gt;1,EOMONTH(W7,0),"")</f>
        <v/>
      </c>
      <c r="U7" s="635">
        <v>0</v>
      </c>
      <c r="V7" s="763"/>
      <c r="W7" s="451"/>
      <c r="X7" s="745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45"/>
      <c r="J8" s="748"/>
      <c r="K8" s="190"/>
      <c r="L8" s="213">
        <v>1</v>
      </c>
      <c r="M8" s="215" t="s">
        <v>307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63"/>
      <c r="W8" s="451"/>
      <c r="X8" s="745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45"/>
      <c r="J9" s="748"/>
      <c r="K9" s="190"/>
      <c r="L9" s="213">
        <v>1</v>
      </c>
      <c r="M9" s="215" t="s">
        <v>307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63"/>
      <c r="W9" s="452"/>
      <c r="X9" s="745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45"/>
      <c r="J10" s="748"/>
      <c r="K10" s="190"/>
      <c r="L10" s="213">
        <v>1</v>
      </c>
      <c r="M10" s="215" t="s">
        <v>307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63"/>
      <c r="W10" s="452"/>
      <c r="X10" s="745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46"/>
      <c r="J11" s="749"/>
      <c r="K11" s="191"/>
      <c r="L11" s="218">
        <v>1</v>
      </c>
      <c r="M11" s="316" t="s">
        <v>307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64"/>
      <c r="W11" s="453"/>
      <c r="X11" s="746"/>
      <c r="Y11" s="581" t="s">
        <v>311</v>
      </c>
      <c r="Z11" s="467" t="s">
        <v>312</v>
      </c>
    </row>
    <row r="12" spans="1:76" ht="14.4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313</v>
      </c>
      <c r="Z12" s="468">
        <f>G53</f>
        <v>278660.59999999998</v>
      </c>
      <c r="AA12" s="506"/>
    </row>
    <row r="13" spans="1:76" ht="14.25" customHeight="1">
      <c r="B13" s="195">
        <v>2</v>
      </c>
      <c r="C13" s="221" t="s">
        <v>200</v>
      </c>
      <c r="D13" s="221" t="s">
        <v>314</v>
      </c>
      <c r="E13" s="266">
        <v>4</v>
      </c>
      <c r="F13" s="353"/>
      <c r="G13" s="198">
        <f>D188</f>
        <v>247000</v>
      </c>
      <c r="H13" s="530">
        <f>'Project Plan'!E23+60</f>
        <v>46018</v>
      </c>
      <c r="I13" s="756">
        <f>SUM(G13:G19)</f>
        <v>247000</v>
      </c>
      <c r="J13" s="759">
        <f>F188</f>
        <v>280682</v>
      </c>
      <c r="K13" s="199"/>
      <c r="L13" s="195">
        <v>2</v>
      </c>
      <c r="M13" s="317" t="s">
        <v>315</v>
      </c>
      <c r="N13" s="221" t="s">
        <v>316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309</v>
      </c>
      <c r="T13" s="530">
        <v>45961</v>
      </c>
      <c r="U13" s="636">
        <v>280682</v>
      </c>
      <c r="V13" s="765">
        <f>J13-SUM(U13:U19)</f>
        <v>0</v>
      </c>
      <c r="W13" s="684">
        <f>W6</f>
        <v>46019</v>
      </c>
      <c r="X13" s="756">
        <f>SUM(Q13:Q19)</f>
        <v>174424.32000000001</v>
      </c>
      <c r="Y13" s="582" t="s">
        <v>317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57"/>
      <c r="J14" s="760"/>
      <c r="K14" s="203"/>
      <c r="L14" s="200">
        <v>2</v>
      </c>
      <c r="M14" s="323" t="s">
        <v>315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66"/>
      <c r="W14" s="505"/>
      <c r="X14" s="757"/>
      <c r="Y14" s="582" t="s">
        <v>318</v>
      </c>
      <c r="Z14" s="468">
        <f>G114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57"/>
      <c r="J15" s="760"/>
      <c r="K15" s="203"/>
      <c r="L15" s="200">
        <v>2</v>
      </c>
      <c r="M15" s="323" t="s">
        <v>315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66"/>
      <c r="W15" s="456"/>
      <c r="X15" s="757"/>
      <c r="Y15" s="582" t="s">
        <v>319</v>
      </c>
      <c r="Z15" s="468">
        <f>G115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57"/>
      <c r="J16" s="760"/>
      <c r="K16" s="203"/>
      <c r="L16" s="200">
        <v>2</v>
      </c>
      <c r="M16" s="323" t="s">
        <v>315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66"/>
      <c r="W16" s="456"/>
      <c r="X16" s="757"/>
      <c r="Y16" s="582" t="s">
        <v>320</v>
      </c>
      <c r="Z16" s="468">
        <f>G127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57"/>
      <c r="J17" s="760"/>
      <c r="K17" s="203"/>
      <c r="L17" s="200">
        <v>2</v>
      </c>
      <c r="M17" s="323" t="s">
        <v>315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66"/>
      <c r="W17" s="456"/>
      <c r="X17" s="757"/>
      <c r="Y17" s="582" t="s">
        <v>321</v>
      </c>
      <c r="Z17" s="468">
        <f>G128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57"/>
      <c r="J18" s="760"/>
      <c r="K18" s="203"/>
      <c r="L18" s="200">
        <v>2</v>
      </c>
      <c r="M18" s="323" t="s">
        <v>315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66"/>
      <c r="W18" s="456"/>
      <c r="X18" s="757"/>
      <c r="Y18" s="582" t="s">
        <v>322</v>
      </c>
      <c r="Z18" s="468">
        <f>G130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58"/>
      <c r="J19" s="761"/>
      <c r="K19" s="208"/>
      <c r="L19" s="294">
        <v>2</v>
      </c>
      <c r="M19" s="318" t="s">
        <v>315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67"/>
      <c r="W19" s="457"/>
      <c r="X19" s="758"/>
      <c r="Y19" s="582" t="s">
        <v>323</v>
      </c>
      <c r="Z19" s="468">
        <v>0</v>
      </c>
      <c r="AA19" s="506"/>
    </row>
    <row r="20" spans="1:34" ht="14.4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324</v>
      </c>
      <c r="D21" s="229" t="s">
        <v>325</v>
      </c>
      <c r="E21" s="185"/>
      <c r="F21" s="334"/>
      <c r="G21" s="186">
        <f>D189</f>
        <v>100040</v>
      </c>
      <c r="H21" s="519">
        <f>'Project Plan'!E31+30</f>
        <v>45987</v>
      </c>
      <c r="I21" s="744">
        <f>SUM(G21:G26)</f>
        <v>100040</v>
      </c>
      <c r="J21" s="747">
        <f>F189</f>
        <v>113682</v>
      </c>
      <c r="K21" s="187"/>
      <c r="L21" s="183">
        <v>3</v>
      </c>
      <c r="M21" s="319" t="s">
        <v>326</v>
      </c>
      <c r="N21" s="229" t="s">
        <v>327</v>
      </c>
      <c r="O21" s="430"/>
      <c r="P21" s="334"/>
      <c r="Q21" s="186">
        <f>48031-Q22</f>
        <v>45051</v>
      </c>
      <c r="R21" s="738" t="s">
        <v>328</v>
      </c>
      <c r="S21" s="488" t="s">
        <v>329</v>
      </c>
      <c r="T21" s="632">
        <v>45961</v>
      </c>
      <c r="U21" s="635">
        <v>106628.79769315651</v>
      </c>
      <c r="V21" s="762">
        <f>J21-SUM(U21:U26)</f>
        <v>0</v>
      </c>
      <c r="W21" s="685">
        <v>45989</v>
      </c>
      <c r="X21" s="744">
        <f>SUM(Q21:Q26)</f>
        <v>48031</v>
      </c>
      <c r="Y21" s="582" t="s">
        <v>330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45"/>
      <c r="J22" s="748"/>
      <c r="K22" s="190"/>
      <c r="L22" s="213">
        <v>3</v>
      </c>
      <c r="M22" s="320" t="s">
        <v>326</v>
      </c>
      <c r="N22" s="230" t="s">
        <v>331</v>
      </c>
      <c r="O22" s="431"/>
      <c r="P22" s="355"/>
      <c r="Q22" s="217">
        <v>2980</v>
      </c>
      <c r="R22" s="739"/>
      <c r="S22" s="481" t="s">
        <v>329</v>
      </c>
      <c r="T22" s="633">
        <f>T21</f>
        <v>45961</v>
      </c>
      <c r="U22" s="635">
        <v>7053.2023068434974</v>
      </c>
      <c r="V22" s="763"/>
      <c r="W22" s="616">
        <f>W21</f>
        <v>45989</v>
      </c>
      <c r="X22" s="745"/>
      <c r="Y22" s="582" t="s">
        <v>278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45"/>
      <c r="J23" s="748"/>
      <c r="K23" s="190"/>
      <c r="L23" s="213">
        <v>3</v>
      </c>
      <c r="M23" s="320" t="s">
        <v>326</v>
      </c>
      <c r="N23" s="230"/>
      <c r="O23" s="431"/>
      <c r="P23" s="355"/>
      <c r="Q23" s="217"/>
      <c r="R23" s="606"/>
      <c r="S23" s="481"/>
      <c r="T23" s="409" t="str">
        <f t="shared" si="0"/>
        <v/>
      </c>
      <c r="U23" s="635">
        <v>0</v>
      </c>
      <c r="V23" s="763"/>
      <c r="W23" s="451"/>
      <c r="X23" s="745"/>
      <c r="Y23" s="582" t="s">
        <v>332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45"/>
      <c r="J24" s="748"/>
      <c r="K24" s="190"/>
      <c r="L24" s="213">
        <v>3</v>
      </c>
      <c r="M24" s="320" t="s">
        <v>326</v>
      </c>
      <c r="N24" s="230"/>
      <c r="O24" s="432"/>
      <c r="P24" s="341"/>
      <c r="Q24" s="285"/>
      <c r="R24" s="645"/>
      <c r="S24" s="482"/>
      <c r="T24" s="410" t="str">
        <f t="shared" si="0"/>
        <v/>
      </c>
      <c r="U24" s="635">
        <v>0</v>
      </c>
      <c r="V24" s="763"/>
      <c r="W24" s="452"/>
      <c r="X24" s="745"/>
      <c r="Y24" s="583" t="s">
        <v>333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45"/>
      <c r="J25" s="748"/>
      <c r="K25" s="190"/>
      <c r="L25" s="213">
        <v>3</v>
      </c>
      <c r="M25" s="320" t="s">
        <v>326</v>
      </c>
      <c r="N25" s="284"/>
      <c r="O25" s="432"/>
      <c r="P25" s="341"/>
      <c r="Q25" s="285"/>
      <c r="R25" s="645"/>
      <c r="S25" s="482"/>
      <c r="T25" s="410" t="str">
        <f t="shared" si="0"/>
        <v/>
      </c>
      <c r="U25" s="635">
        <v>0</v>
      </c>
      <c r="V25" s="763"/>
      <c r="W25" s="452"/>
      <c r="X25" s="745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46"/>
      <c r="J26" s="749"/>
      <c r="K26" s="191"/>
      <c r="L26" s="218">
        <v>3</v>
      </c>
      <c r="M26" s="321" t="s">
        <v>326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64"/>
      <c r="W26" s="453"/>
      <c r="X26" s="746"/>
      <c r="Y26" s="584" t="s">
        <v>334</v>
      </c>
      <c r="Z26" s="472" t="s">
        <v>335</v>
      </c>
      <c r="AC26" s="614"/>
      <c r="AE26" s="26" t="s">
        <v>336</v>
      </c>
    </row>
    <row r="27" spans="1:34" ht="14.4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337</v>
      </c>
      <c r="AC27" s="614"/>
      <c r="AF27" s="506">
        <v>389809.96</v>
      </c>
    </row>
    <row r="28" spans="1:34" ht="14.25" customHeight="1">
      <c r="B28" s="195">
        <v>4</v>
      </c>
      <c r="C28" s="196" t="s">
        <v>317</v>
      </c>
      <c r="D28" s="196" t="s">
        <v>338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56">
        <f>SUM(G28:G42)</f>
        <v>161926</v>
      </c>
      <c r="J28" s="759">
        <f>F190</f>
        <v>184007</v>
      </c>
      <c r="K28" s="199"/>
      <c r="L28" s="195">
        <v>4</v>
      </c>
      <c r="M28" s="322" t="s">
        <v>339</v>
      </c>
      <c r="N28" s="196" t="s">
        <v>340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309</v>
      </c>
      <c r="T28" s="530">
        <v>45961</v>
      </c>
      <c r="U28" s="636">
        <v>76217.10437809884</v>
      </c>
      <c r="V28" s="765">
        <f>J28-SUM(U28:U42)</f>
        <v>-2.3061083629727364E-3</v>
      </c>
      <c r="W28" s="684">
        <f>W13</f>
        <v>46019</v>
      </c>
      <c r="X28" s="756">
        <f>SUM(Q28:Q42)</f>
        <v>143126.91999999998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341</v>
      </c>
      <c r="E29" s="293"/>
      <c r="F29" s="349"/>
      <c r="G29" s="497">
        <f>D190-G28</f>
        <v>103406</v>
      </c>
      <c r="H29" s="521">
        <f>'Project Plan'!G29</f>
        <v>45985</v>
      </c>
      <c r="I29" s="757"/>
      <c r="J29" s="760"/>
      <c r="K29" s="203"/>
      <c r="L29" s="200">
        <v>4</v>
      </c>
      <c r="M29" s="323" t="s">
        <v>339</v>
      </c>
      <c r="N29" s="307" t="s">
        <v>342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343</v>
      </c>
      <c r="T29" s="664">
        <v>46053</v>
      </c>
      <c r="U29" s="636">
        <v>0</v>
      </c>
      <c r="V29" s="766"/>
      <c r="W29" s="625">
        <v>46053</v>
      </c>
      <c r="X29" s="757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344</v>
      </c>
      <c r="AD29" s="513" t="s">
        <v>345</v>
      </c>
      <c r="AE29" s="617" t="s">
        <v>346</v>
      </c>
      <c r="AF29" s="609">
        <v>109400.2</v>
      </c>
      <c r="AG29" s="26" t="s">
        <v>347</v>
      </c>
      <c r="AH29" s="26" t="s">
        <v>348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57"/>
      <c r="J30" s="760"/>
      <c r="K30" s="203"/>
      <c r="L30" s="200">
        <v>4</v>
      </c>
      <c r="M30" s="323" t="s">
        <v>339</v>
      </c>
      <c r="N30" s="307" t="s">
        <v>349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343</v>
      </c>
      <c r="T30" s="664">
        <v>46053</v>
      </c>
      <c r="U30" s="636">
        <v>0</v>
      </c>
      <c r="V30" s="766"/>
      <c r="W30" s="625">
        <v>46053</v>
      </c>
      <c r="X30" s="757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350</v>
      </c>
      <c r="AE30" s="617" t="s">
        <v>351</v>
      </c>
      <c r="AF30" s="609">
        <v>251933.8</v>
      </c>
      <c r="AG30" s="26" t="s">
        <v>352</v>
      </c>
      <c r="AH30" s="26" t="s">
        <v>353</v>
      </c>
    </row>
    <row r="31" spans="1:34" ht="14.25" customHeight="1">
      <c r="B31" s="222">
        <v>4</v>
      </c>
      <c r="C31" s="307"/>
      <c r="D31" s="307"/>
      <c r="E31" s="293"/>
      <c r="F31" s="349"/>
      <c r="G31" s="202"/>
      <c r="H31" s="521"/>
      <c r="I31" s="757"/>
      <c r="J31" s="760"/>
      <c r="K31" s="203"/>
      <c r="L31" s="200">
        <v>4</v>
      </c>
      <c r="M31" s="323" t="s">
        <v>339</v>
      </c>
      <c r="N31" s="307"/>
      <c r="O31" s="436"/>
      <c r="P31" s="349"/>
      <c r="Q31" s="202"/>
      <c r="R31" s="649"/>
      <c r="S31" s="486"/>
      <c r="T31" s="414" t="str">
        <f t="shared" si="0"/>
        <v/>
      </c>
      <c r="U31" s="399">
        <f t="shared" ref="U31" si="2">(Q31/$X$28*$J$28)</f>
        <v>0</v>
      </c>
      <c r="V31" s="766"/>
      <c r="W31" s="456"/>
      <c r="X31" s="757"/>
      <c r="Y31" s="585" t="s">
        <v>354</v>
      </c>
      <c r="Z31" s="473">
        <v>16041.03</v>
      </c>
      <c r="AC31" s="614"/>
      <c r="AF31" s="506">
        <v>15879.25</v>
      </c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57"/>
      <c r="J32" s="760"/>
      <c r="K32" s="203"/>
      <c r="L32" s="200">
        <v>4</v>
      </c>
      <c r="M32" s="323" t="s">
        <v>339</v>
      </c>
      <c r="N32" s="307" t="s">
        <v>355</v>
      </c>
      <c r="O32" s="445">
        <f>AF28</f>
        <v>115826.92</v>
      </c>
      <c r="P32" s="446">
        <v>0.1</v>
      </c>
      <c r="Q32" s="202">
        <f>$O$32*P32</f>
        <v>11582.692000000001</v>
      </c>
      <c r="R32" s="753" t="s">
        <v>356</v>
      </c>
      <c r="S32" s="486" t="str">
        <f>S59</f>
        <v>The Greenway INV0001528</v>
      </c>
      <c r="T32" s="622">
        <f>T115</f>
        <v>45961</v>
      </c>
      <c r="U32" s="636">
        <v>10778.989562190116</v>
      </c>
      <c r="V32" s="766"/>
      <c r="W32" s="625">
        <f>W115</f>
        <v>45960</v>
      </c>
      <c r="X32" s="757"/>
      <c r="Y32" s="585" t="s">
        <v>357</v>
      </c>
      <c r="Z32" s="473">
        <v>48180</v>
      </c>
      <c r="AA32" s="613" t="s">
        <v>358</v>
      </c>
      <c r="AB32" s="26" t="s">
        <v>359</v>
      </c>
      <c r="AC32" s="614"/>
      <c r="AD32" s="736" t="s">
        <v>360</v>
      </c>
      <c r="AE32" s="26">
        <v>0.19</v>
      </c>
      <c r="AF32" s="609">
        <v>26180</v>
      </c>
    </row>
    <row r="33" spans="1:32" ht="14.25" customHeight="1">
      <c r="B33" s="222">
        <v>4</v>
      </c>
      <c r="C33" s="307"/>
      <c r="D33" s="307"/>
      <c r="E33" s="293"/>
      <c r="F33" s="349"/>
      <c r="G33" s="202"/>
      <c r="H33" s="521"/>
      <c r="I33" s="757"/>
      <c r="J33" s="760"/>
      <c r="K33" s="203"/>
      <c r="L33" s="200">
        <v>4</v>
      </c>
      <c r="M33" s="323" t="s">
        <v>339</v>
      </c>
      <c r="N33" s="307" t="s">
        <v>140</v>
      </c>
      <c r="O33" s="436"/>
      <c r="P33" s="446">
        <v>0.15</v>
      </c>
      <c r="Q33" s="202">
        <f t="shared" ref="Q33:Q39" si="3">$O$32*P33</f>
        <v>17374.038</v>
      </c>
      <c r="R33" s="754"/>
      <c r="S33" s="486" t="s">
        <v>361</v>
      </c>
      <c r="T33" s="622">
        <v>45961</v>
      </c>
      <c r="U33" s="636">
        <v>16168.484343285172</v>
      </c>
      <c r="V33" s="766"/>
      <c r="W33" s="644">
        <f>W116</f>
        <v>45967</v>
      </c>
      <c r="X33" s="757"/>
      <c r="Y33" s="585" t="s">
        <v>362</v>
      </c>
      <c r="Z33" s="473">
        <v>59410</v>
      </c>
      <c r="AA33" s="613" t="s">
        <v>358</v>
      </c>
      <c r="AB33" s="26" t="s">
        <v>363</v>
      </c>
      <c r="AC33" s="614"/>
      <c r="AD33" s="737"/>
      <c r="AE33" s="26">
        <v>0.11</v>
      </c>
      <c r="AF33" s="609">
        <v>28490</v>
      </c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57"/>
      <c r="J34" s="760"/>
      <c r="K34" s="203"/>
      <c r="L34" s="200">
        <v>4</v>
      </c>
      <c r="M34" s="323" t="s">
        <v>339</v>
      </c>
      <c r="N34" s="307" t="s">
        <v>364</v>
      </c>
      <c r="O34" s="436"/>
      <c r="P34" s="446">
        <v>0.2</v>
      </c>
      <c r="Q34" s="202">
        <f t="shared" si="3"/>
        <v>23165.384000000002</v>
      </c>
      <c r="R34" s="754"/>
      <c r="S34" s="486" t="s">
        <v>365</v>
      </c>
      <c r="T34" s="521">
        <f>T117</f>
        <v>46022</v>
      </c>
      <c r="U34" s="636">
        <v>21557.979124380232</v>
      </c>
      <c r="V34" s="766"/>
      <c r="W34" s="644">
        <f>W117</f>
        <v>46003</v>
      </c>
      <c r="X34" s="757"/>
      <c r="Y34" s="585" t="s">
        <v>366</v>
      </c>
      <c r="Z34" s="473">
        <v>90051.25</v>
      </c>
      <c r="AB34" s="26" t="s">
        <v>367</v>
      </c>
      <c r="AC34" s="614"/>
      <c r="AF34" s="506">
        <v>77601.25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57"/>
      <c r="J35" s="760"/>
      <c r="K35" s="203"/>
      <c r="L35" s="200">
        <v>4</v>
      </c>
      <c r="M35" s="323" t="s">
        <v>339</v>
      </c>
      <c r="N35" s="307" t="s">
        <v>368</v>
      </c>
      <c r="O35" s="436"/>
      <c r="P35" s="446">
        <v>0.25</v>
      </c>
      <c r="Q35" s="202">
        <f t="shared" si="3"/>
        <v>28956.73</v>
      </c>
      <c r="R35" s="754"/>
      <c r="S35" s="486" t="s">
        <v>369</v>
      </c>
      <c r="T35" s="521">
        <f>T118</f>
        <v>46022</v>
      </c>
      <c r="U35" s="636">
        <v>26947.473905475286</v>
      </c>
      <c r="V35" s="766"/>
      <c r="W35" s="644">
        <f>W118</f>
        <v>46003</v>
      </c>
      <c r="X35" s="757"/>
      <c r="Y35" s="585" t="s">
        <v>85</v>
      </c>
      <c r="Z35" s="473">
        <f t="shared" ref="Z35" si="4">Z20*0.85</f>
        <v>0</v>
      </c>
      <c r="AC35" s="614"/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57"/>
      <c r="J36" s="760"/>
      <c r="K36" s="203"/>
      <c r="L36" s="200">
        <v>4</v>
      </c>
      <c r="M36" s="323" t="s">
        <v>339</v>
      </c>
      <c r="N36" s="307" t="s">
        <v>370</v>
      </c>
      <c r="O36" s="436"/>
      <c r="P36" s="446">
        <v>0.1</v>
      </c>
      <c r="Q36" s="202">
        <f t="shared" si="3"/>
        <v>11582.692000000001</v>
      </c>
      <c r="R36" s="754"/>
      <c r="S36" s="486" t="s">
        <v>371</v>
      </c>
      <c r="T36" s="521">
        <f t="shared" ref="T36:T39" si="5">T119</f>
        <v>46022</v>
      </c>
      <c r="U36" s="636">
        <v>10778.989562190116</v>
      </c>
      <c r="V36" s="766"/>
      <c r="W36" s="644">
        <f t="shared" ref="W36:W39" si="6">W119</f>
        <v>46003</v>
      </c>
      <c r="X36" s="757"/>
      <c r="Y36" s="585" t="s">
        <v>330</v>
      </c>
      <c r="Z36" s="473">
        <v>0</v>
      </c>
      <c r="AC36" s="614"/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57"/>
      <c r="J37" s="760"/>
      <c r="K37" s="203"/>
      <c r="L37" s="200">
        <v>4</v>
      </c>
      <c r="M37" s="323" t="s">
        <v>339</v>
      </c>
      <c r="N37" s="307" t="s">
        <v>372</v>
      </c>
      <c r="O37" s="436"/>
      <c r="P37" s="446">
        <v>0.1</v>
      </c>
      <c r="Q37" s="202">
        <f t="shared" si="3"/>
        <v>11582.692000000001</v>
      </c>
      <c r="R37" s="754"/>
      <c r="S37" s="486" t="str">
        <f>S120</f>
        <v>The Greenway INV0001564</v>
      </c>
      <c r="T37" s="521">
        <f t="shared" si="5"/>
        <v>46022</v>
      </c>
      <c r="U37" s="636">
        <v>10778.989562190116</v>
      </c>
      <c r="V37" s="766"/>
      <c r="W37" s="644">
        <f t="shared" si="6"/>
        <v>46015</v>
      </c>
      <c r="X37" s="757"/>
      <c r="Y37" s="585" t="s">
        <v>330</v>
      </c>
      <c r="Z37" s="474"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57"/>
      <c r="J38" s="760"/>
      <c r="K38" s="203"/>
      <c r="L38" s="200">
        <v>4</v>
      </c>
      <c r="M38" s="323" t="s">
        <v>339</v>
      </c>
      <c r="N38" s="307" t="s">
        <v>373</v>
      </c>
      <c r="O38" s="436"/>
      <c r="P38" s="446">
        <v>0.05</v>
      </c>
      <c r="Q38" s="202">
        <f t="shared" si="3"/>
        <v>5791.3460000000005</v>
      </c>
      <c r="R38" s="754"/>
      <c r="S38" s="486" t="s">
        <v>374</v>
      </c>
      <c r="T38" s="521">
        <f t="shared" si="5"/>
        <v>46022</v>
      </c>
      <c r="U38" s="636">
        <v>5389.494781095058</v>
      </c>
      <c r="V38" s="766"/>
      <c r="W38" s="644">
        <v>46051</v>
      </c>
      <c r="X38" s="757"/>
      <c r="Y38" s="585" t="s">
        <v>278</v>
      </c>
      <c r="Z38" s="473">
        <f>SUM(Z27:Z37)</f>
        <v>1179136.77</v>
      </c>
      <c r="AB38" s="473">
        <f>SUM(Z31:Z37)+SUM(Z27:Z28)+SUM(AB29:AB30)</f>
        <v>1044562.6699999999</v>
      </c>
      <c r="AC38" s="615">
        <f>Z38-AB38</f>
        <v>134574.10000000009</v>
      </c>
      <c r="AF38" s="506">
        <f>SUM(AF27:AF34)</f>
        <v>1015121.3799999999</v>
      </c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57"/>
      <c r="J39" s="760"/>
      <c r="K39" s="203"/>
      <c r="L39" s="200">
        <v>4</v>
      </c>
      <c r="M39" s="323" t="s">
        <v>339</v>
      </c>
      <c r="N39" s="307" t="s">
        <v>375</v>
      </c>
      <c r="O39" s="436"/>
      <c r="P39" s="446">
        <v>0.05</v>
      </c>
      <c r="Q39" s="202">
        <f t="shared" si="3"/>
        <v>5791.3460000000005</v>
      </c>
      <c r="R39" s="755"/>
      <c r="S39" s="486"/>
      <c r="T39" s="414">
        <f t="shared" si="5"/>
        <v>46081</v>
      </c>
      <c r="U39" s="399">
        <f>(Q39/$X$28*$J$28)-2055.98</f>
        <v>5389.4970872034428</v>
      </c>
      <c r="V39" s="766"/>
      <c r="W39" s="456">
        <f t="shared" si="6"/>
        <v>46081</v>
      </c>
      <c r="X39" s="757"/>
      <c r="Y39" s="586" t="s">
        <v>333</v>
      </c>
      <c r="Z39" s="474">
        <f>Z38/'Project Plan'!$E$3/1000</f>
        <v>4.7165470800000007</v>
      </c>
      <c r="AB39" s="474">
        <f>AB38/'Project Plan'!$E$3/1000</f>
        <v>4.1782506799999997</v>
      </c>
      <c r="AC39" s="614"/>
      <c r="AF39" s="474">
        <f>AF38/'Project Plan'!$E$3/1000</f>
        <v>4.0604855199999994</v>
      </c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57"/>
      <c r="J40" s="760"/>
      <c r="K40" s="203"/>
      <c r="L40" s="200">
        <v>4</v>
      </c>
      <c r="M40" s="323" t="s">
        <v>339</v>
      </c>
      <c r="N40" s="307"/>
      <c r="O40" s="436"/>
      <c r="P40" s="349"/>
      <c r="Q40" s="202"/>
      <c r="R40" s="649"/>
      <c r="S40" s="486"/>
      <c r="T40" s="414" t="str">
        <f t="shared" si="0"/>
        <v/>
      </c>
      <c r="U40" s="399">
        <f t="shared" ref="U40:U42" si="7">(Q40/$X$28*$J$28)</f>
        <v>0</v>
      </c>
      <c r="V40" s="766"/>
      <c r="W40" s="456"/>
      <c r="X40" s="757"/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57"/>
      <c r="J41" s="760"/>
      <c r="K41" s="203"/>
      <c r="L41" s="200">
        <v>4</v>
      </c>
      <c r="M41" s="323" t="s">
        <v>339</v>
      </c>
      <c r="N41" s="307"/>
      <c r="O41" s="436"/>
      <c r="P41" s="349"/>
      <c r="Q41" s="202"/>
      <c r="R41" s="649"/>
      <c r="S41" s="486"/>
      <c r="T41" s="414" t="str">
        <f t="shared" si="0"/>
        <v/>
      </c>
      <c r="U41" s="399">
        <f t="shared" si="7"/>
        <v>0</v>
      </c>
      <c r="V41" s="766"/>
      <c r="W41" s="456"/>
      <c r="X41" s="757"/>
      <c r="Z41" s="610">
        <f>Z38/'Project Plan'!K3</f>
        <v>218358.66111111111</v>
      </c>
      <c r="AA41" s="610">
        <f>SUM(AA29:AA30)/6</f>
        <v>0.30638273333333332</v>
      </c>
    </row>
    <row r="42" spans="1:32" ht="15" customHeight="1" thickBot="1">
      <c r="B42" s="204">
        <v>4</v>
      </c>
      <c r="C42" s="227"/>
      <c r="D42" s="227"/>
      <c r="E42" s="296"/>
      <c r="F42" s="351"/>
      <c r="G42" s="207"/>
      <c r="H42" s="531"/>
      <c r="I42" s="758"/>
      <c r="J42" s="761"/>
      <c r="K42" s="208"/>
      <c r="L42" s="204">
        <v>4</v>
      </c>
      <c r="M42" s="324" t="s">
        <v>339</v>
      </c>
      <c r="N42" s="227"/>
      <c r="O42" s="437"/>
      <c r="P42" s="351"/>
      <c r="Q42" s="207"/>
      <c r="R42" s="650"/>
      <c r="S42" s="487"/>
      <c r="T42" s="415" t="str">
        <f t="shared" si="0"/>
        <v/>
      </c>
      <c r="U42" s="400">
        <f t="shared" si="7"/>
        <v>0</v>
      </c>
      <c r="V42" s="767"/>
      <c r="W42" s="457"/>
      <c r="X42" s="758"/>
      <c r="Z42" s="610">
        <f>SUM(Z29:Z30)/'Project Plan'!K3</f>
        <v>85106.314814814803</v>
      </c>
    </row>
    <row r="43" spans="1:32" ht="14.4" thickBot="1">
      <c r="A43" s="4"/>
      <c r="B43" s="178"/>
      <c r="C43" s="179"/>
      <c r="D43" s="210"/>
      <c r="E43" s="193"/>
      <c r="F43" s="352"/>
      <c r="G43" s="194"/>
      <c r="H43" s="532"/>
      <c r="I43" s="523"/>
      <c r="J43" s="182"/>
      <c r="K43" s="4"/>
      <c r="L43" s="178"/>
      <c r="M43" s="179"/>
      <c r="N43" s="210"/>
      <c r="O43" s="434"/>
      <c r="P43" s="352"/>
      <c r="Q43" s="194"/>
      <c r="R43" s="651"/>
      <c r="S43" s="489"/>
      <c r="T43" s="412" t="str">
        <f t="shared" si="0"/>
        <v/>
      </c>
      <c r="U43" s="403"/>
      <c r="V43" s="386"/>
      <c r="W43" s="454"/>
      <c r="X43" s="523"/>
    </row>
    <row r="44" spans="1:32" ht="14.25" customHeight="1">
      <c r="B44" s="183">
        <v>5</v>
      </c>
      <c r="C44" s="211" t="s">
        <v>376</v>
      </c>
      <c r="D44" s="229" t="s">
        <v>377</v>
      </c>
      <c r="E44" s="185"/>
      <c r="F44" s="334"/>
      <c r="G44" s="186">
        <f>D192-G45</f>
        <v>133000</v>
      </c>
      <c r="H44" s="519">
        <f>H13</f>
        <v>46018</v>
      </c>
      <c r="I44" s="744">
        <f>SUM(G44:G51)</f>
        <v>148000</v>
      </c>
      <c r="J44" s="747">
        <f>F192</f>
        <v>168182</v>
      </c>
      <c r="K44" s="187"/>
      <c r="L44" s="183">
        <v>5</v>
      </c>
      <c r="M44" s="319" t="s">
        <v>378</v>
      </c>
      <c r="N44" s="229" t="s">
        <v>379</v>
      </c>
      <c r="O44" s="430"/>
      <c r="P44" s="334"/>
      <c r="Q44" s="186">
        <v>8598.34</v>
      </c>
      <c r="R44" s="466"/>
      <c r="S44" s="488" t="s">
        <v>309</v>
      </c>
      <c r="T44" s="519">
        <f>T13</f>
        <v>45961</v>
      </c>
      <c r="U44" s="639">
        <v>9890.2129776497222</v>
      </c>
      <c r="V44" s="762">
        <f>J44-SUM(U44:U51)</f>
        <v>2.8336118557490408E-3</v>
      </c>
      <c r="W44" s="685">
        <f>W13</f>
        <v>46019</v>
      </c>
      <c r="X44" s="744">
        <f>SUM(Q44:Q51)</f>
        <v>105182.45</v>
      </c>
    </row>
    <row r="45" spans="1:32" ht="14.25" customHeight="1">
      <c r="B45" s="188">
        <v>5</v>
      </c>
      <c r="C45" s="212"/>
      <c r="D45" s="215" t="s">
        <v>380</v>
      </c>
      <c r="E45" s="347"/>
      <c r="F45" s="348"/>
      <c r="G45" s="217">
        <v>15000</v>
      </c>
      <c r="H45" s="518">
        <f>H44</f>
        <v>46018</v>
      </c>
      <c r="I45" s="745"/>
      <c r="J45" s="748"/>
      <c r="K45" s="190"/>
      <c r="L45" s="188">
        <v>5</v>
      </c>
      <c r="M45" s="325" t="s">
        <v>378</v>
      </c>
      <c r="N45" s="189" t="s">
        <v>381</v>
      </c>
      <c r="O45" s="438"/>
      <c r="P45" s="348"/>
      <c r="Q45" s="217">
        <v>14118</v>
      </c>
      <c r="R45" s="606" t="s">
        <v>382</v>
      </c>
      <c r="S45" s="481" t="s">
        <v>383</v>
      </c>
      <c r="T45" s="604">
        <v>45991</v>
      </c>
      <c r="U45" s="639">
        <v>25155.72876205184</v>
      </c>
      <c r="V45" s="763"/>
      <c r="W45" s="624">
        <v>46029</v>
      </c>
      <c r="X45" s="745"/>
    </row>
    <row r="46" spans="1:32" ht="14.25" customHeight="1">
      <c r="B46" s="188">
        <v>5</v>
      </c>
      <c r="C46" s="212"/>
      <c r="D46" s="215"/>
      <c r="E46" s="216"/>
      <c r="F46" s="355"/>
      <c r="G46" s="217"/>
      <c r="H46" s="518"/>
      <c r="I46" s="745"/>
      <c r="J46" s="748"/>
      <c r="K46" s="190"/>
      <c r="L46" s="188">
        <v>5</v>
      </c>
      <c r="M46" s="325" t="s">
        <v>378</v>
      </c>
      <c r="N46" s="215" t="s">
        <v>220</v>
      </c>
      <c r="O46" s="431"/>
      <c r="P46" s="355"/>
      <c r="Q46" s="217">
        <v>11169</v>
      </c>
      <c r="R46" s="606"/>
      <c r="S46" s="481" t="s">
        <v>384</v>
      </c>
      <c r="T46" s="604">
        <v>46053</v>
      </c>
      <c r="U46" s="639">
        <v>23141.457934175331</v>
      </c>
      <c r="V46" s="763"/>
      <c r="W46" s="624">
        <v>46051</v>
      </c>
      <c r="X46" s="745"/>
    </row>
    <row r="47" spans="1:32" ht="14.25" customHeight="1">
      <c r="B47" s="188"/>
      <c r="C47" s="212"/>
      <c r="D47" s="215"/>
      <c r="E47" s="216"/>
      <c r="F47" s="355"/>
      <c r="G47" s="217"/>
      <c r="H47" s="518"/>
      <c r="I47" s="745"/>
      <c r="J47" s="748"/>
      <c r="K47" s="190"/>
      <c r="L47" s="188">
        <v>5</v>
      </c>
      <c r="M47" s="325" t="s">
        <v>378</v>
      </c>
      <c r="N47" s="215" t="s">
        <v>385</v>
      </c>
      <c r="O47" s="431"/>
      <c r="P47" s="355"/>
      <c r="Q47" s="217">
        <v>307.94</v>
      </c>
      <c r="R47" s="606"/>
      <c r="S47" s="481" t="s">
        <v>386</v>
      </c>
      <c r="T47" s="604">
        <v>45991</v>
      </c>
      <c r="U47" s="639">
        <v>475.07867221888677</v>
      </c>
      <c r="V47" s="763"/>
      <c r="W47" s="624">
        <v>46021</v>
      </c>
      <c r="X47" s="745"/>
    </row>
    <row r="48" spans="1:32" ht="14.25" customHeight="1">
      <c r="B48" s="213">
        <v>5</v>
      </c>
      <c r="C48" s="214"/>
      <c r="D48" s="215"/>
      <c r="E48" s="216"/>
      <c r="F48" s="355"/>
      <c r="G48" s="217"/>
      <c r="H48" s="518"/>
      <c r="I48" s="745"/>
      <c r="J48" s="748"/>
      <c r="K48" s="190"/>
      <c r="L48" s="213">
        <v>5</v>
      </c>
      <c r="M48" s="325" t="s">
        <v>378</v>
      </c>
      <c r="N48" s="215" t="s">
        <v>387</v>
      </c>
      <c r="O48" s="431"/>
      <c r="P48" s="355"/>
      <c r="Q48" s="217">
        <v>70989.17</v>
      </c>
      <c r="R48" s="606" t="s">
        <v>388</v>
      </c>
      <c r="S48" s="481" t="s">
        <v>389</v>
      </c>
      <c r="T48" s="604">
        <v>45991</v>
      </c>
      <c r="U48" s="639">
        <v>109519.51882029236</v>
      </c>
      <c r="V48" s="763"/>
      <c r="W48" s="624">
        <v>45979</v>
      </c>
      <c r="X48" s="745"/>
    </row>
    <row r="49" spans="1:24" ht="14.25" customHeight="1">
      <c r="B49" s="282">
        <v>5</v>
      </c>
      <c r="C49" s="283"/>
      <c r="D49" s="286"/>
      <c r="E49" s="305"/>
      <c r="F49" s="341"/>
      <c r="G49" s="285"/>
      <c r="H49" s="527"/>
      <c r="I49" s="745"/>
      <c r="J49" s="748"/>
      <c r="K49" s="190"/>
      <c r="L49" s="213">
        <v>5</v>
      </c>
      <c r="M49" s="325" t="s">
        <v>378</v>
      </c>
      <c r="N49" s="286"/>
      <c r="O49" s="432"/>
      <c r="P49" s="341"/>
      <c r="Q49" s="285"/>
      <c r="R49" s="645"/>
      <c r="S49" s="482"/>
      <c r="T49" s="410" t="str">
        <f t="shared" si="0"/>
        <v/>
      </c>
      <c r="U49" s="394">
        <f t="shared" ref="U49:U51" si="8">(Q49/$X$44*$J$44)</f>
        <v>0</v>
      </c>
      <c r="V49" s="763"/>
      <c r="W49" s="452"/>
      <c r="X49" s="745"/>
    </row>
    <row r="50" spans="1:24" ht="14.25" customHeight="1">
      <c r="B50" s="282">
        <v>5</v>
      </c>
      <c r="C50" s="283"/>
      <c r="D50" s="286"/>
      <c r="E50" s="305"/>
      <c r="F50" s="341"/>
      <c r="G50" s="285"/>
      <c r="H50" s="527"/>
      <c r="I50" s="745"/>
      <c r="J50" s="748"/>
      <c r="K50" s="190"/>
      <c r="L50" s="213">
        <v>5</v>
      </c>
      <c r="M50" s="325" t="s">
        <v>378</v>
      </c>
      <c r="N50" s="286"/>
      <c r="O50" s="432"/>
      <c r="P50" s="341"/>
      <c r="Q50" s="285"/>
      <c r="R50" s="645"/>
      <c r="S50" s="482"/>
      <c r="T50" s="410" t="str">
        <f t="shared" si="0"/>
        <v/>
      </c>
      <c r="U50" s="395">
        <f t="shared" si="8"/>
        <v>0</v>
      </c>
      <c r="V50" s="763"/>
      <c r="W50" s="452"/>
      <c r="X50" s="745"/>
    </row>
    <row r="51" spans="1:24" ht="15" customHeight="1" thickBot="1">
      <c r="B51" s="218">
        <v>5</v>
      </c>
      <c r="C51" s="239"/>
      <c r="D51" s="219"/>
      <c r="E51" s="220"/>
      <c r="F51" s="356"/>
      <c r="G51" s="232"/>
      <c r="H51" s="528"/>
      <c r="I51" s="746"/>
      <c r="J51" s="749"/>
      <c r="K51" s="191"/>
      <c r="L51" s="218">
        <v>5</v>
      </c>
      <c r="M51" s="321" t="s">
        <v>378</v>
      </c>
      <c r="N51" s="219"/>
      <c r="O51" s="433"/>
      <c r="P51" s="356"/>
      <c r="Q51" s="232"/>
      <c r="R51" s="646"/>
      <c r="S51" s="483"/>
      <c r="T51" s="411" t="str">
        <f t="shared" si="0"/>
        <v/>
      </c>
      <c r="U51" s="396">
        <f t="shared" si="8"/>
        <v>0</v>
      </c>
      <c r="V51" s="764"/>
      <c r="W51" s="453"/>
      <c r="X51" s="746"/>
    </row>
    <row r="52" spans="1:24" ht="14.4" thickBot="1">
      <c r="A52" s="4"/>
      <c r="B52" s="192"/>
      <c r="C52" s="209"/>
      <c r="D52" s="180"/>
      <c r="E52" s="193"/>
      <c r="F52" s="352"/>
      <c r="G52" s="194"/>
      <c r="H52" s="529"/>
      <c r="I52" s="524"/>
      <c r="J52" s="228"/>
      <c r="K52" s="4"/>
      <c r="L52" s="192"/>
      <c r="M52" s="209"/>
      <c r="N52" s="180"/>
      <c r="O52" s="434"/>
      <c r="P52" s="352"/>
      <c r="Q52" s="194"/>
      <c r="R52" s="647"/>
      <c r="S52" s="484"/>
      <c r="T52" s="412" t="str">
        <f t="shared" si="0"/>
        <v/>
      </c>
      <c r="U52" s="401"/>
      <c r="V52" s="383"/>
      <c r="W52" s="454"/>
      <c r="X52" s="524"/>
    </row>
    <row r="53" spans="1:24" ht="14.25" customHeight="1">
      <c r="B53" s="195">
        <v>6</v>
      </c>
      <c r="C53" s="196" t="s">
        <v>313</v>
      </c>
      <c r="D53" s="197" t="s">
        <v>390</v>
      </c>
      <c r="E53" s="371"/>
      <c r="F53" s="353"/>
      <c r="G53" s="198">
        <f>D191</f>
        <v>278660.59999999998</v>
      </c>
      <c r="H53" s="530">
        <f>'Project Plan'!G25+30</f>
        <v>46005</v>
      </c>
      <c r="I53" s="756">
        <f>SUM(G53:G69)</f>
        <v>278660.59999999998</v>
      </c>
      <c r="J53" s="759">
        <f>F191</f>
        <v>316660</v>
      </c>
      <c r="K53" s="199"/>
      <c r="L53" s="195">
        <v>6</v>
      </c>
      <c r="M53" s="328" t="s">
        <v>391</v>
      </c>
      <c r="N53" s="197"/>
      <c r="O53" s="426"/>
      <c r="P53" s="353"/>
      <c r="Q53" s="198"/>
      <c r="R53" s="648"/>
      <c r="S53" s="485"/>
      <c r="T53" s="413" t="str">
        <f t="shared" si="0"/>
        <v/>
      </c>
      <c r="U53" s="398">
        <f t="shared" ref="U53:U69" si="9">(Q53/$X$53*$J$53)</f>
        <v>0</v>
      </c>
      <c r="V53" s="765">
        <f>J53-SUM(U53:U69)</f>
        <v>0</v>
      </c>
      <c r="W53" s="455"/>
      <c r="X53" s="756">
        <f>SUM(Q53:Q69)</f>
        <v>389809.96</v>
      </c>
    </row>
    <row r="54" spans="1:24" ht="14.25" customHeight="1">
      <c r="B54" s="200">
        <v>6</v>
      </c>
      <c r="C54" s="307"/>
      <c r="D54" s="340"/>
      <c r="E54" s="293"/>
      <c r="F54" s="349"/>
      <c r="G54" s="223"/>
      <c r="H54" s="521"/>
      <c r="I54" s="757"/>
      <c r="J54" s="760"/>
      <c r="K54" s="203"/>
      <c r="L54" s="200">
        <v>6</v>
      </c>
      <c r="M54" s="326" t="s">
        <v>391</v>
      </c>
      <c r="N54" s="340" t="s">
        <v>214</v>
      </c>
      <c r="O54" s="436"/>
      <c r="P54" s="349"/>
      <c r="Q54" s="223">
        <v>0</v>
      </c>
      <c r="R54" s="649"/>
      <c r="S54" s="486"/>
      <c r="T54" s="414"/>
      <c r="U54" s="399">
        <f t="shared" si="9"/>
        <v>0</v>
      </c>
      <c r="V54" s="766"/>
      <c r="W54" s="456"/>
      <c r="X54" s="757"/>
    </row>
    <row r="55" spans="1:24" ht="14.25" customHeight="1">
      <c r="B55" s="200">
        <v>6</v>
      </c>
      <c r="C55" s="307"/>
      <c r="D55" s="340"/>
      <c r="E55" s="293"/>
      <c r="F55" s="349"/>
      <c r="G55" s="223"/>
      <c r="H55" s="521"/>
      <c r="I55" s="757"/>
      <c r="J55" s="760"/>
      <c r="K55" s="203"/>
      <c r="L55" s="200">
        <v>6</v>
      </c>
      <c r="M55" s="326" t="s">
        <v>391</v>
      </c>
      <c r="N55" s="340"/>
      <c r="O55" s="436"/>
      <c r="P55" s="349"/>
      <c r="Q55" s="223"/>
      <c r="R55" s="649"/>
      <c r="S55" s="486"/>
      <c r="T55" s="414" t="str">
        <f t="shared" si="0"/>
        <v/>
      </c>
      <c r="U55" s="399">
        <f t="shared" si="9"/>
        <v>0</v>
      </c>
      <c r="V55" s="766"/>
      <c r="W55" s="456"/>
      <c r="X55" s="757"/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57"/>
      <c r="J56" s="760"/>
      <c r="K56" s="203"/>
      <c r="L56" s="200">
        <v>6</v>
      </c>
      <c r="M56" s="326" t="s">
        <v>391</v>
      </c>
      <c r="N56" s="340"/>
      <c r="O56" s="436"/>
      <c r="P56" s="349"/>
      <c r="Q56" s="223"/>
      <c r="R56" s="649"/>
      <c r="S56" s="486"/>
      <c r="T56" s="414" t="str">
        <f t="shared" si="0"/>
        <v/>
      </c>
      <c r="U56" s="399">
        <f t="shared" si="9"/>
        <v>0</v>
      </c>
      <c r="V56" s="766"/>
      <c r="W56" s="456"/>
      <c r="X56" s="757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57"/>
      <c r="J57" s="760"/>
      <c r="K57" s="203"/>
      <c r="L57" s="200">
        <v>6</v>
      </c>
      <c r="M57" s="326" t="s">
        <v>391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9"/>
        <v>0</v>
      </c>
      <c r="V57" s="766"/>
      <c r="W57" s="456"/>
      <c r="X57" s="757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57"/>
      <c r="J58" s="760"/>
      <c r="K58" s="203"/>
      <c r="L58" s="200">
        <v>6</v>
      </c>
      <c r="M58" s="326" t="s">
        <v>391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9"/>
        <v>0</v>
      </c>
      <c r="V58" s="766"/>
      <c r="W58" s="456"/>
      <c r="X58" s="757"/>
    </row>
    <row r="59" spans="1:24" ht="14.25" customHeight="1">
      <c r="B59" s="200">
        <v>6</v>
      </c>
      <c r="C59" s="346"/>
      <c r="D59" s="201"/>
      <c r="E59" s="298"/>
      <c r="F59" s="350"/>
      <c r="G59" s="223"/>
      <c r="H59" s="521"/>
      <c r="I59" s="757"/>
      <c r="J59" s="760"/>
      <c r="K59" s="203"/>
      <c r="L59" s="200">
        <v>6</v>
      </c>
      <c r="M59" s="326" t="s">
        <v>391</v>
      </c>
      <c r="N59" s="307" t="s">
        <v>355</v>
      </c>
      <c r="O59" s="445">
        <f>AF27</f>
        <v>389809.96</v>
      </c>
      <c r="P59" s="446">
        <v>0.1</v>
      </c>
      <c r="Q59" s="202">
        <f t="shared" ref="Q59:Q66" si="10">$O$59*P59</f>
        <v>38980.996000000006</v>
      </c>
      <c r="R59" s="753" t="s">
        <v>356</v>
      </c>
      <c r="S59" s="486" t="str">
        <f>S115</f>
        <v>The Greenway INV0001528</v>
      </c>
      <c r="T59" s="623">
        <f>T115</f>
        <v>45961</v>
      </c>
      <c r="U59" s="636">
        <v>31666</v>
      </c>
      <c r="V59" s="766"/>
      <c r="W59" s="625">
        <f>W115</f>
        <v>45960</v>
      </c>
      <c r="X59" s="757"/>
    </row>
    <row r="60" spans="1:24" ht="14.25" customHeight="1">
      <c r="B60" s="200">
        <v>6</v>
      </c>
      <c r="C60" s="299"/>
      <c r="D60" s="201"/>
      <c r="E60" s="298"/>
      <c r="F60" s="350"/>
      <c r="G60" s="223"/>
      <c r="H60" s="521"/>
      <c r="I60" s="757"/>
      <c r="J60" s="760"/>
      <c r="K60" s="203"/>
      <c r="L60" s="200">
        <v>6</v>
      </c>
      <c r="M60" s="327" t="s">
        <v>391</v>
      </c>
      <c r="N60" s="307" t="s">
        <v>140</v>
      </c>
      <c r="O60" s="436"/>
      <c r="P60" s="446">
        <v>0.15</v>
      </c>
      <c r="Q60" s="202">
        <f t="shared" si="10"/>
        <v>58471.493999999999</v>
      </c>
      <c r="R60" s="754"/>
      <c r="S60" s="486" t="s">
        <v>361</v>
      </c>
      <c r="T60" s="629">
        <v>45961</v>
      </c>
      <c r="U60" s="636">
        <v>47499</v>
      </c>
      <c r="V60" s="766"/>
      <c r="W60" s="644">
        <f t="shared" ref="W60:W66" si="11">W116</f>
        <v>45967</v>
      </c>
      <c r="X60" s="757"/>
    </row>
    <row r="61" spans="1:24" ht="14.25" customHeight="1">
      <c r="B61" s="200">
        <v>6</v>
      </c>
      <c r="C61" s="299"/>
      <c r="D61" s="201"/>
      <c r="E61" s="298"/>
      <c r="F61" s="350"/>
      <c r="G61" s="223"/>
      <c r="H61" s="521"/>
      <c r="I61" s="757"/>
      <c r="J61" s="760"/>
      <c r="K61" s="203"/>
      <c r="L61" s="200">
        <v>6</v>
      </c>
      <c r="M61" s="327" t="s">
        <v>391</v>
      </c>
      <c r="N61" s="307" t="s">
        <v>364</v>
      </c>
      <c r="O61" s="436"/>
      <c r="P61" s="446">
        <v>0.2</v>
      </c>
      <c r="Q61" s="202">
        <f t="shared" si="10"/>
        <v>77961.992000000013</v>
      </c>
      <c r="R61" s="754"/>
      <c r="S61" s="486" t="s">
        <v>365</v>
      </c>
      <c r="T61" s="536">
        <f t="shared" ref="T61:T66" si="12">T117</f>
        <v>46022</v>
      </c>
      <c r="U61" s="636">
        <v>63332</v>
      </c>
      <c r="V61" s="766"/>
      <c r="W61" s="644">
        <f t="shared" si="11"/>
        <v>46003</v>
      </c>
      <c r="X61" s="757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57"/>
      <c r="J62" s="760"/>
      <c r="K62" s="203"/>
      <c r="L62" s="200">
        <v>6</v>
      </c>
      <c r="M62" s="327" t="s">
        <v>391</v>
      </c>
      <c r="N62" s="307" t="s">
        <v>368</v>
      </c>
      <c r="O62" s="436"/>
      <c r="P62" s="446">
        <v>0.25</v>
      </c>
      <c r="Q62" s="202">
        <f t="shared" si="10"/>
        <v>97452.49</v>
      </c>
      <c r="R62" s="754"/>
      <c r="S62" s="486" t="s">
        <v>369</v>
      </c>
      <c r="T62" s="536">
        <f t="shared" si="12"/>
        <v>46022</v>
      </c>
      <c r="U62" s="636">
        <v>79165</v>
      </c>
      <c r="V62" s="766"/>
      <c r="W62" s="644">
        <f t="shared" si="11"/>
        <v>46003</v>
      </c>
      <c r="X62" s="757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57"/>
      <c r="J63" s="760"/>
      <c r="K63" s="203"/>
      <c r="L63" s="200">
        <v>6</v>
      </c>
      <c r="M63" s="327" t="s">
        <v>391</v>
      </c>
      <c r="N63" s="307" t="s">
        <v>370</v>
      </c>
      <c r="O63" s="436"/>
      <c r="P63" s="446">
        <v>0.1</v>
      </c>
      <c r="Q63" s="202">
        <f t="shared" si="10"/>
        <v>38980.996000000006</v>
      </c>
      <c r="R63" s="754"/>
      <c r="S63" s="486" t="s">
        <v>371</v>
      </c>
      <c r="T63" s="536">
        <f t="shared" si="12"/>
        <v>46022</v>
      </c>
      <c r="U63" s="636">
        <v>31666</v>
      </c>
      <c r="V63" s="766"/>
      <c r="W63" s="644">
        <f t="shared" si="11"/>
        <v>46003</v>
      </c>
      <c r="X63" s="757"/>
    </row>
    <row r="64" spans="1:24" ht="14.25" customHeight="1">
      <c r="B64" s="200">
        <v>6</v>
      </c>
      <c r="C64" s="390"/>
      <c r="D64" s="237"/>
      <c r="E64" s="312"/>
      <c r="F64" s="357"/>
      <c r="G64" s="223"/>
      <c r="H64" s="521"/>
      <c r="I64" s="757"/>
      <c r="J64" s="760"/>
      <c r="K64" s="203"/>
      <c r="L64" s="200">
        <v>6</v>
      </c>
      <c r="M64" s="327" t="s">
        <v>391</v>
      </c>
      <c r="N64" s="307" t="s">
        <v>372</v>
      </c>
      <c r="O64" s="436"/>
      <c r="P64" s="446">
        <v>0.1</v>
      </c>
      <c r="Q64" s="202">
        <f t="shared" si="10"/>
        <v>38980.996000000006</v>
      </c>
      <c r="R64" s="754"/>
      <c r="S64" s="490" t="str">
        <f>S120</f>
        <v>The Greenway INV0001564</v>
      </c>
      <c r="T64" s="536">
        <f t="shared" si="12"/>
        <v>46022</v>
      </c>
      <c r="U64" s="699">
        <v>31666</v>
      </c>
      <c r="V64" s="766"/>
      <c r="W64" s="644">
        <f t="shared" si="11"/>
        <v>46015</v>
      </c>
      <c r="X64" s="757"/>
    </row>
    <row r="65" spans="1:24" ht="14.25" customHeight="1">
      <c r="B65" s="200">
        <v>6</v>
      </c>
      <c r="C65" s="390"/>
      <c r="D65" s="237"/>
      <c r="E65" s="312"/>
      <c r="F65" s="357"/>
      <c r="G65" s="223"/>
      <c r="H65" s="521"/>
      <c r="I65" s="757"/>
      <c r="J65" s="760"/>
      <c r="K65" s="203"/>
      <c r="L65" s="200">
        <v>6</v>
      </c>
      <c r="M65" s="327" t="s">
        <v>391</v>
      </c>
      <c r="N65" s="307" t="s">
        <v>373</v>
      </c>
      <c r="O65" s="436"/>
      <c r="P65" s="446">
        <v>0.05</v>
      </c>
      <c r="Q65" s="202">
        <f t="shared" si="10"/>
        <v>19490.498000000003</v>
      </c>
      <c r="R65" s="754"/>
      <c r="S65" s="490" t="s">
        <v>374</v>
      </c>
      <c r="T65" s="536">
        <f t="shared" si="12"/>
        <v>46022</v>
      </c>
      <c r="U65" s="699">
        <v>15833</v>
      </c>
      <c r="V65" s="766"/>
      <c r="W65" s="644">
        <v>46051</v>
      </c>
      <c r="X65" s="757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57"/>
      <c r="J66" s="760"/>
      <c r="K66" s="203"/>
      <c r="L66" s="200">
        <v>6</v>
      </c>
      <c r="M66" s="327" t="s">
        <v>391</v>
      </c>
      <c r="N66" s="307" t="s">
        <v>375</v>
      </c>
      <c r="O66" s="436"/>
      <c r="P66" s="446">
        <v>0.05</v>
      </c>
      <c r="Q66" s="202">
        <f t="shared" si="10"/>
        <v>19490.498000000003</v>
      </c>
      <c r="R66" s="755"/>
      <c r="S66" s="490"/>
      <c r="T66" s="417">
        <f t="shared" si="12"/>
        <v>46081</v>
      </c>
      <c r="U66" s="404">
        <f t="shared" si="9"/>
        <v>15833</v>
      </c>
      <c r="V66" s="766"/>
      <c r="W66" s="456">
        <f t="shared" si="11"/>
        <v>46081</v>
      </c>
      <c r="X66" s="757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57"/>
      <c r="J67" s="760"/>
      <c r="K67" s="203"/>
      <c r="L67" s="200">
        <v>6</v>
      </c>
      <c r="M67" s="327" t="s">
        <v>391</v>
      </c>
      <c r="N67" s="307"/>
      <c r="O67" s="436"/>
      <c r="P67" s="446"/>
      <c r="Q67" s="202"/>
      <c r="R67" s="652"/>
      <c r="S67" s="490"/>
      <c r="T67" s="417" t="str">
        <f t="shared" si="0"/>
        <v/>
      </c>
      <c r="U67" s="404">
        <f t="shared" si="9"/>
        <v>0</v>
      </c>
      <c r="V67" s="766"/>
      <c r="W67" s="459"/>
      <c r="X67" s="757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57"/>
      <c r="J68" s="760"/>
      <c r="K68" s="203"/>
      <c r="L68" s="200">
        <v>6</v>
      </c>
      <c r="M68" s="327" t="s">
        <v>391</v>
      </c>
      <c r="N68" s="307"/>
      <c r="O68" s="436"/>
      <c r="P68" s="446"/>
      <c r="Q68" s="202"/>
      <c r="R68" s="652"/>
      <c r="S68" s="490"/>
      <c r="T68" s="417" t="str">
        <f t="shared" si="0"/>
        <v/>
      </c>
      <c r="U68" s="404">
        <f t="shared" si="9"/>
        <v>0</v>
      </c>
      <c r="V68" s="766"/>
      <c r="W68" s="459"/>
      <c r="X68" s="757"/>
    </row>
    <row r="69" spans="1:24" ht="15" customHeight="1" thickBot="1">
      <c r="B69" s="204">
        <v>6</v>
      </c>
      <c r="C69" s="300"/>
      <c r="D69" s="206"/>
      <c r="E69" s="354"/>
      <c r="F69" s="351"/>
      <c r="G69" s="207"/>
      <c r="H69" s="531"/>
      <c r="I69" s="758"/>
      <c r="J69" s="761"/>
      <c r="K69" s="208"/>
      <c r="L69" s="204">
        <v>6</v>
      </c>
      <c r="M69" s="329" t="s">
        <v>391</v>
      </c>
      <c r="N69" s="206"/>
      <c r="O69" s="440"/>
      <c r="P69" s="351"/>
      <c r="Q69" s="207"/>
      <c r="R69" s="650"/>
      <c r="S69" s="487"/>
      <c r="T69" s="415" t="str">
        <f t="shared" si="0"/>
        <v/>
      </c>
      <c r="U69" s="400">
        <f t="shared" si="9"/>
        <v>0</v>
      </c>
      <c r="V69" s="767"/>
      <c r="W69" s="457"/>
      <c r="X69" s="758"/>
    </row>
    <row r="70" spans="1:24" ht="14.4" thickBot="1">
      <c r="A70" s="4"/>
      <c r="B70" s="192"/>
      <c r="C70" s="233"/>
      <c r="D70" s="210"/>
      <c r="E70" s="193"/>
      <c r="F70" s="352"/>
      <c r="G70" s="194"/>
      <c r="H70" s="533"/>
      <c r="I70" s="523"/>
      <c r="J70" s="182"/>
      <c r="K70" s="4"/>
      <c r="L70" s="192"/>
      <c r="M70" s="233"/>
      <c r="N70" s="210"/>
      <c r="O70" s="434"/>
      <c r="P70" s="352"/>
      <c r="Q70" s="194"/>
      <c r="R70" s="653"/>
      <c r="S70" s="491"/>
      <c r="T70" s="418" t="str">
        <f t="shared" si="0"/>
        <v/>
      </c>
      <c r="U70" s="405"/>
      <c r="V70" s="380"/>
      <c r="W70" s="460"/>
      <c r="X70" s="523"/>
    </row>
    <row r="71" spans="1:24" ht="14.25" customHeight="1">
      <c r="B71" s="279">
        <v>7</v>
      </c>
      <c r="C71" s="211" t="s">
        <v>392</v>
      </c>
      <c r="D71" s="280"/>
      <c r="E71" s="358"/>
      <c r="F71" s="364"/>
      <c r="G71" s="281"/>
      <c r="H71" s="534"/>
      <c r="I71" s="744">
        <f>SUM(G71:G78)</f>
        <v>0</v>
      </c>
      <c r="J71" s="747">
        <f>F196</f>
        <v>0</v>
      </c>
      <c r="K71" s="187"/>
      <c r="L71" s="279">
        <v>7</v>
      </c>
      <c r="M71" s="211" t="s">
        <v>393</v>
      </c>
      <c r="N71" s="280"/>
      <c r="O71" s="358"/>
      <c r="P71" s="364"/>
      <c r="Q71" s="281"/>
      <c r="R71" s="654"/>
      <c r="S71" s="492"/>
      <c r="T71" s="419"/>
      <c r="U71" s="503"/>
      <c r="V71" s="768">
        <f>J71-SUM(U71:U78)</f>
        <v>0</v>
      </c>
      <c r="W71" s="461"/>
      <c r="X71" s="744">
        <f>SUM(Q71:Q78)</f>
        <v>0</v>
      </c>
    </row>
    <row r="72" spans="1:24" ht="14.25" customHeight="1">
      <c r="B72" s="282">
        <v>7</v>
      </c>
      <c r="C72" s="283"/>
      <c r="D72" s="284"/>
      <c r="E72" s="305"/>
      <c r="F72" s="341"/>
      <c r="G72" s="285"/>
      <c r="H72" s="518"/>
      <c r="I72" s="745"/>
      <c r="J72" s="748"/>
      <c r="K72" s="190"/>
      <c r="L72" s="282">
        <v>7</v>
      </c>
      <c r="M72" s="283" t="s">
        <v>393</v>
      </c>
      <c r="N72" s="284"/>
      <c r="O72" s="305"/>
      <c r="P72" s="341"/>
      <c r="Q72" s="285"/>
      <c r="R72" s="645"/>
      <c r="S72" s="482"/>
      <c r="T72" s="410"/>
      <c r="U72" s="395"/>
      <c r="V72" s="769"/>
      <c r="W72" s="452"/>
      <c r="X72" s="745"/>
    </row>
    <row r="73" spans="1:24" ht="14.25" customHeight="1">
      <c r="B73" s="282">
        <v>7</v>
      </c>
      <c r="C73" s="283"/>
      <c r="D73" s="284"/>
      <c r="E73" s="305"/>
      <c r="F73" s="341"/>
      <c r="G73" s="285"/>
      <c r="H73" s="518"/>
      <c r="I73" s="745"/>
      <c r="J73" s="748"/>
      <c r="K73" s="190"/>
      <c r="L73" s="282">
        <v>7</v>
      </c>
      <c r="M73" s="283" t="s">
        <v>393</v>
      </c>
      <c r="N73" s="284"/>
      <c r="O73" s="305"/>
      <c r="P73" s="341"/>
      <c r="Q73" s="285"/>
      <c r="R73" s="645"/>
      <c r="S73" s="482"/>
      <c r="T73" s="410"/>
      <c r="U73" s="395"/>
      <c r="V73" s="769"/>
      <c r="W73" s="452"/>
      <c r="X73" s="745"/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45"/>
      <c r="J74" s="748"/>
      <c r="K74" s="190"/>
      <c r="L74" s="282">
        <v>7</v>
      </c>
      <c r="M74" s="283" t="s">
        <v>393</v>
      </c>
      <c r="N74" s="284"/>
      <c r="O74" s="305"/>
      <c r="P74" s="341"/>
      <c r="Q74" s="285"/>
      <c r="R74" s="645"/>
      <c r="S74" s="482"/>
      <c r="T74" s="410"/>
      <c r="U74" s="395"/>
      <c r="V74" s="769"/>
      <c r="W74" s="452"/>
      <c r="X74" s="745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45"/>
      <c r="J75" s="748"/>
      <c r="K75" s="190"/>
      <c r="L75" s="282">
        <v>7</v>
      </c>
      <c r="M75" s="283" t="s">
        <v>393</v>
      </c>
      <c r="N75" s="284"/>
      <c r="O75" s="305"/>
      <c r="P75" s="341"/>
      <c r="Q75" s="285"/>
      <c r="R75" s="645"/>
      <c r="S75" s="482"/>
      <c r="T75" s="410"/>
      <c r="U75" s="395"/>
      <c r="V75" s="769"/>
      <c r="W75" s="452"/>
      <c r="X75" s="745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45"/>
      <c r="J76" s="748"/>
      <c r="K76" s="190"/>
      <c r="L76" s="282">
        <v>7</v>
      </c>
      <c r="M76" s="283" t="s">
        <v>393</v>
      </c>
      <c r="N76" s="284"/>
      <c r="O76" s="432"/>
      <c r="P76" s="341"/>
      <c r="Q76" s="285"/>
      <c r="R76" s="645"/>
      <c r="S76" s="482"/>
      <c r="T76" s="410"/>
      <c r="U76" s="395"/>
      <c r="V76" s="769"/>
      <c r="W76" s="452"/>
      <c r="X76" s="745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45"/>
      <c r="J77" s="748"/>
      <c r="K77" s="190"/>
      <c r="L77" s="282">
        <v>7</v>
      </c>
      <c r="M77" s="283" t="s">
        <v>393</v>
      </c>
      <c r="N77" s="284"/>
      <c r="O77" s="432"/>
      <c r="P77" s="341"/>
      <c r="Q77" s="285"/>
      <c r="R77" s="645"/>
      <c r="S77" s="482"/>
      <c r="T77" s="410"/>
      <c r="U77" s="395"/>
      <c r="V77" s="769"/>
      <c r="W77" s="452"/>
      <c r="X77" s="745"/>
    </row>
    <row r="78" spans="1:24" ht="15" customHeight="1" thickBot="1">
      <c r="B78" s="218">
        <v>7</v>
      </c>
      <c r="C78" s="239"/>
      <c r="D78" s="231"/>
      <c r="E78" s="220"/>
      <c r="F78" s="356"/>
      <c r="G78" s="232"/>
      <c r="H78" s="535"/>
      <c r="I78" s="746"/>
      <c r="J78" s="749"/>
      <c r="K78" s="191"/>
      <c r="L78" s="218">
        <v>7</v>
      </c>
      <c r="M78" s="239" t="s">
        <v>393</v>
      </c>
      <c r="N78" s="231"/>
      <c r="O78" s="433"/>
      <c r="P78" s="356"/>
      <c r="Q78" s="232"/>
      <c r="R78" s="646"/>
      <c r="S78" s="483"/>
      <c r="T78" s="411"/>
      <c r="U78" s="396"/>
      <c r="V78" s="770"/>
      <c r="W78" s="453"/>
      <c r="X78" s="746"/>
    </row>
    <row r="79" spans="1:24" ht="14.4" thickBot="1">
      <c r="A79" s="4"/>
      <c r="B79" s="192"/>
      <c r="C79" s="233"/>
      <c r="D79" s="210"/>
      <c r="E79" s="193"/>
      <c r="F79" s="352"/>
      <c r="G79" s="194"/>
      <c r="H79" s="529"/>
      <c r="I79" s="523"/>
      <c r="J79" s="182"/>
      <c r="K79" s="4"/>
      <c r="L79" s="192"/>
      <c r="M79" s="233"/>
      <c r="N79" s="210"/>
      <c r="O79" s="434"/>
      <c r="P79" s="352"/>
      <c r="Q79" s="194"/>
      <c r="R79" s="647"/>
      <c r="S79" s="484"/>
      <c r="T79" s="412"/>
      <c r="U79" s="401"/>
      <c r="V79" s="383"/>
      <c r="W79" s="454"/>
      <c r="X79" s="523"/>
    </row>
    <row r="80" spans="1:24" ht="14.25" customHeight="1">
      <c r="B80" s="234">
        <v>8</v>
      </c>
      <c r="C80" s="196" t="s">
        <v>394</v>
      </c>
      <c r="D80" s="235" t="s">
        <v>395</v>
      </c>
      <c r="E80" s="359"/>
      <c r="F80" s="313"/>
      <c r="G80" s="236">
        <f>D193</f>
        <v>97500</v>
      </c>
      <c r="H80" s="530">
        <f>H114</f>
        <v>45988</v>
      </c>
      <c r="I80" s="756">
        <f>SUM(G80:G112)</f>
        <v>469833.45</v>
      </c>
      <c r="J80" s="759">
        <f>F193+F195</f>
        <v>533901</v>
      </c>
      <c r="K80" s="199"/>
      <c r="L80" s="234">
        <v>8</v>
      </c>
      <c r="M80" s="322" t="s">
        <v>396</v>
      </c>
      <c r="N80" s="197" t="s">
        <v>397</v>
      </c>
      <c r="O80" s="426"/>
      <c r="P80" s="353"/>
      <c r="Q80" s="198">
        <v>213097.85</v>
      </c>
      <c r="R80" s="648" t="s">
        <v>388</v>
      </c>
      <c r="S80" s="485" t="s">
        <v>398</v>
      </c>
      <c r="T80" s="530">
        <v>45991</v>
      </c>
      <c r="U80" s="690">
        <v>197924.52260640005</v>
      </c>
      <c r="V80" s="783">
        <f>J80-SUM(U80:U112)</f>
        <v>-182487.30674497806</v>
      </c>
      <c r="W80" s="684">
        <v>45992</v>
      </c>
      <c r="X80" s="756">
        <f>SUM(Q80:Q112)</f>
        <v>533564.02</v>
      </c>
    </row>
    <row r="81" spans="2:24" ht="14.25" customHeight="1">
      <c r="B81" s="224">
        <v>8</v>
      </c>
      <c r="C81" s="225"/>
      <c r="D81" s="237" t="s">
        <v>399</v>
      </c>
      <c r="E81" s="312"/>
      <c r="F81" s="357"/>
      <c r="G81" s="226">
        <v>121333.45</v>
      </c>
      <c r="H81" s="521">
        <f>H80</f>
        <v>45988</v>
      </c>
      <c r="I81" s="757"/>
      <c r="J81" s="760"/>
      <c r="K81" s="203"/>
      <c r="L81" s="224">
        <v>8</v>
      </c>
      <c r="M81" s="330" t="s">
        <v>396</v>
      </c>
      <c r="N81" s="340" t="s">
        <v>400</v>
      </c>
      <c r="O81" s="436"/>
      <c r="P81" s="349"/>
      <c r="Q81" s="223">
        <v>19795.599999999999</v>
      </c>
      <c r="R81" s="648" t="s">
        <v>401</v>
      </c>
      <c r="S81" s="486" t="s">
        <v>402</v>
      </c>
      <c r="T81" s="521">
        <v>45991</v>
      </c>
      <c r="U81" s="636">
        <v>201610.0426362502</v>
      </c>
      <c r="V81" s="784"/>
      <c r="W81" s="644">
        <v>45992</v>
      </c>
      <c r="X81" s="757"/>
    </row>
    <row r="82" spans="2:24" ht="14.25" customHeight="1">
      <c r="B82" s="224">
        <v>8</v>
      </c>
      <c r="C82" s="225"/>
      <c r="D82" s="237" t="s">
        <v>403</v>
      </c>
      <c r="E82" s="312"/>
      <c r="F82" s="357"/>
      <c r="G82" s="226">
        <v>131000</v>
      </c>
      <c r="H82" s="521">
        <f t="shared" ref="H82:H95" si="13">H81</f>
        <v>45988</v>
      </c>
      <c r="I82" s="757"/>
      <c r="J82" s="760"/>
      <c r="K82" s="203"/>
      <c r="L82" s="224">
        <v>8</v>
      </c>
      <c r="M82" s="330" t="s">
        <v>396</v>
      </c>
      <c r="N82" s="237" t="s">
        <v>404</v>
      </c>
      <c r="O82" s="312"/>
      <c r="P82" s="357"/>
      <c r="Q82" s="226">
        <v>23510</v>
      </c>
      <c r="R82" s="649" t="s">
        <v>405</v>
      </c>
      <c r="S82" s="486" t="s">
        <v>406</v>
      </c>
      <c r="T82" s="521">
        <v>46022</v>
      </c>
      <c r="U82" s="636">
        <v>23797.945237554712</v>
      </c>
      <c r="V82" s="784"/>
      <c r="W82" s="625">
        <v>46015</v>
      </c>
      <c r="X82" s="757"/>
    </row>
    <row r="83" spans="2:24" ht="14.25" customHeight="1">
      <c r="B83" s="224">
        <v>8</v>
      </c>
      <c r="C83" s="225"/>
      <c r="D83" s="237"/>
      <c r="E83" s="312"/>
      <c r="F83" s="357"/>
      <c r="G83" s="226"/>
      <c r="H83" s="521"/>
      <c r="I83" s="757"/>
      <c r="J83" s="760"/>
      <c r="K83" s="203"/>
      <c r="L83" s="224">
        <v>8</v>
      </c>
      <c r="M83" s="330" t="s">
        <v>396</v>
      </c>
      <c r="N83" s="237"/>
      <c r="O83" s="312"/>
      <c r="P83" s="357"/>
      <c r="Q83" s="226"/>
      <c r="R83" s="649"/>
      <c r="S83" s="486"/>
      <c r="T83" s="414"/>
      <c r="U83" s="399">
        <f t="shared" ref="U83:U112" si="14">(Q83/$X$80*$J$80)</f>
        <v>0</v>
      </c>
      <c r="V83" s="784"/>
      <c r="W83" s="456"/>
      <c r="X83" s="757"/>
    </row>
    <row r="84" spans="2:24" ht="14.25" customHeight="1">
      <c r="B84" s="224">
        <v>8</v>
      </c>
      <c r="C84" s="225"/>
      <c r="D84" s="237"/>
      <c r="E84" s="312"/>
      <c r="F84" s="357"/>
      <c r="G84" s="226"/>
      <c r="H84" s="521"/>
      <c r="I84" s="757"/>
      <c r="J84" s="760"/>
      <c r="K84" s="203"/>
      <c r="L84" s="224">
        <v>8</v>
      </c>
      <c r="M84" s="330" t="s">
        <v>396</v>
      </c>
      <c r="N84" s="237"/>
      <c r="O84" s="312"/>
      <c r="P84" s="357"/>
      <c r="Q84" s="226"/>
      <c r="R84" s="649"/>
      <c r="S84" s="486"/>
      <c r="T84" s="414"/>
      <c r="U84" s="399">
        <f t="shared" si="14"/>
        <v>0</v>
      </c>
      <c r="V84" s="784"/>
      <c r="W84" s="456"/>
      <c r="X84" s="757"/>
    </row>
    <row r="85" spans="2:24" ht="14.25" customHeight="1">
      <c r="B85" s="224">
        <v>8</v>
      </c>
      <c r="C85" s="225"/>
      <c r="D85" s="237"/>
      <c r="E85" s="312"/>
      <c r="F85" s="357"/>
      <c r="G85" s="226"/>
      <c r="H85" s="521"/>
      <c r="I85" s="757"/>
      <c r="J85" s="760"/>
      <c r="K85" s="203"/>
      <c r="L85" s="224">
        <v>8</v>
      </c>
      <c r="M85" s="330" t="s">
        <v>396</v>
      </c>
      <c r="N85" s="237"/>
      <c r="O85" s="312"/>
      <c r="P85" s="357"/>
      <c r="Q85" s="226"/>
      <c r="R85" s="649"/>
      <c r="S85" s="486"/>
      <c r="T85" s="414"/>
      <c r="U85" s="399">
        <f t="shared" si="14"/>
        <v>0</v>
      </c>
      <c r="V85" s="784"/>
      <c r="W85" s="456"/>
      <c r="X85" s="757"/>
    </row>
    <row r="86" spans="2:24" ht="14.25" customHeight="1">
      <c r="B86" s="224">
        <v>8</v>
      </c>
      <c r="C86" s="225"/>
      <c r="D86" s="237"/>
      <c r="E86" s="312"/>
      <c r="F86" s="357"/>
      <c r="G86" s="226"/>
      <c r="H86" s="521"/>
      <c r="I86" s="757"/>
      <c r="J86" s="760"/>
      <c r="K86" s="203"/>
      <c r="L86" s="224">
        <v>8</v>
      </c>
      <c r="M86" s="330" t="s">
        <v>396</v>
      </c>
      <c r="N86" s="237"/>
      <c r="O86" s="312"/>
      <c r="P86" s="357"/>
      <c r="Q86" s="226"/>
      <c r="R86" s="649"/>
      <c r="S86" s="486"/>
      <c r="T86" s="414"/>
      <c r="U86" s="399">
        <f t="shared" si="14"/>
        <v>0</v>
      </c>
      <c r="V86" s="784"/>
      <c r="W86" s="456"/>
      <c r="X86" s="757"/>
    </row>
    <row r="87" spans="2:24" ht="14.25" customHeight="1">
      <c r="B87" s="224">
        <v>8</v>
      </c>
      <c r="C87" s="225"/>
      <c r="D87" s="237"/>
      <c r="E87" s="312"/>
      <c r="F87" s="357"/>
      <c r="G87" s="226"/>
      <c r="H87" s="521"/>
      <c r="I87" s="757"/>
      <c r="J87" s="760"/>
      <c r="K87" s="203"/>
      <c r="L87" s="224">
        <v>8</v>
      </c>
      <c r="M87" s="330" t="s">
        <v>396</v>
      </c>
      <c r="N87" s="237"/>
      <c r="O87" s="312"/>
      <c r="P87" s="357"/>
      <c r="Q87" s="226"/>
      <c r="R87" s="649"/>
      <c r="S87" s="486"/>
      <c r="T87" s="414"/>
      <c r="U87" s="399">
        <f t="shared" si="14"/>
        <v>0</v>
      </c>
      <c r="V87" s="784"/>
      <c r="W87" s="456"/>
      <c r="X87" s="757"/>
    </row>
    <row r="88" spans="2:24" ht="14.25" customHeight="1">
      <c r="B88" s="224">
        <v>8</v>
      </c>
      <c r="C88" s="225"/>
      <c r="D88" s="237"/>
      <c r="E88" s="312"/>
      <c r="F88" s="357"/>
      <c r="G88" s="226"/>
      <c r="H88" s="521"/>
      <c r="I88" s="757"/>
      <c r="J88" s="760"/>
      <c r="K88" s="203"/>
      <c r="L88" s="224">
        <v>8</v>
      </c>
      <c r="M88" s="330" t="s">
        <v>396</v>
      </c>
      <c r="N88" s="237" t="s">
        <v>407</v>
      </c>
      <c r="O88" s="312"/>
      <c r="P88" s="357"/>
      <c r="Q88" s="226">
        <v>26500</v>
      </c>
      <c r="R88" s="649" t="s">
        <v>408</v>
      </c>
      <c r="S88" s="486" t="s">
        <v>409</v>
      </c>
      <c r="T88" s="521">
        <v>45991</v>
      </c>
      <c r="U88" s="636">
        <v>51113.105430531599</v>
      </c>
      <c r="V88" s="784"/>
      <c r="W88" s="644">
        <v>45988</v>
      </c>
      <c r="X88" s="757"/>
    </row>
    <row r="89" spans="2:24" ht="14.25" customHeight="1">
      <c r="B89" s="224">
        <v>8</v>
      </c>
      <c r="C89" s="225"/>
      <c r="D89" s="237"/>
      <c r="E89" s="312"/>
      <c r="F89" s="357"/>
      <c r="G89" s="226"/>
      <c r="H89" s="521"/>
      <c r="I89" s="757"/>
      <c r="J89" s="760"/>
      <c r="K89" s="203"/>
      <c r="L89" s="224">
        <v>8</v>
      </c>
      <c r="M89" s="330" t="s">
        <v>396</v>
      </c>
      <c r="N89" s="237"/>
      <c r="O89" s="312"/>
      <c r="P89" s="357"/>
      <c r="Q89" s="226"/>
      <c r="R89" s="649"/>
      <c r="S89" s="486"/>
      <c r="T89" s="414"/>
      <c r="U89" s="399">
        <f t="shared" si="14"/>
        <v>0</v>
      </c>
      <c r="V89" s="784"/>
      <c r="W89" s="456"/>
      <c r="X89" s="757"/>
    </row>
    <row r="90" spans="2:24" ht="14.25" customHeight="1">
      <c r="B90" s="224">
        <v>8</v>
      </c>
      <c r="C90" s="225"/>
      <c r="D90" s="237"/>
      <c r="E90" s="312"/>
      <c r="F90" s="357"/>
      <c r="G90" s="226"/>
      <c r="H90" s="521"/>
      <c r="I90" s="757"/>
      <c r="J90" s="760"/>
      <c r="K90" s="203"/>
      <c r="L90" s="224">
        <v>8</v>
      </c>
      <c r="M90" s="330" t="s">
        <v>396</v>
      </c>
      <c r="N90" s="237"/>
      <c r="O90" s="312"/>
      <c r="P90" s="357"/>
      <c r="Q90" s="226"/>
      <c r="R90" s="649"/>
      <c r="S90" s="486"/>
      <c r="T90" s="414"/>
      <c r="U90" s="399">
        <f t="shared" si="14"/>
        <v>0</v>
      </c>
      <c r="V90" s="784"/>
      <c r="W90" s="456"/>
      <c r="X90" s="757"/>
    </row>
    <row r="91" spans="2:24" ht="14.25" customHeight="1">
      <c r="B91" s="224">
        <v>8</v>
      </c>
      <c r="C91" s="225"/>
      <c r="D91" s="237"/>
      <c r="E91" s="312"/>
      <c r="F91" s="357"/>
      <c r="G91" s="226"/>
      <c r="H91" s="521"/>
      <c r="I91" s="757"/>
      <c r="J91" s="760"/>
      <c r="K91" s="203"/>
      <c r="L91" s="224">
        <v>8</v>
      </c>
      <c r="M91" s="330" t="s">
        <v>396</v>
      </c>
      <c r="N91" s="237"/>
      <c r="O91" s="312"/>
      <c r="P91" s="357"/>
      <c r="Q91" s="226"/>
      <c r="R91" s="649"/>
      <c r="S91" s="486"/>
      <c r="T91" s="414"/>
      <c r="U91" s="399">
        <f t="shared" si="14"/>
        <v>0</v>
      </c>
      <c r="V91" s="784"/>
      <c r="W91" s="456"/>
      <c r="X91" s="757"/>
    </row>
    <row r="92" spans="2:24" ht="14.25" customHeight="1">
      <c r="B92" s="224">
        <v>8</v>
      </c>
      <c r="C92" s="225"/>
      <c r="D92" s="237"/>
      <c r="E92" s="312"/>
      <c r="F92" s="357"/>
      <c r="G92" s="226"/>
      <c r="H92" s="521"/>
      <c r="I92" s="757"/>
      <c r="J92" s="760"/>
      <c r="K92" s="203"/>
      <c r="L92" s="224">
        <v>8</v>
      </c>
      <c r="M92" s="330" t="s">
        <v>396</v>
      </c>
      <c r="N92" s="237"/>
      <c r="O92" s="312"/>
      <c r="P92" s="357"/>
      <c r="Q92" s="226"/>
      <c r="R92" s="649"/>
      <c r="S92" s="486"/>
      <c r="T92" s="414"/>
      <c r="U92" s="399">
        <f t="shared" si="14"/>
        <v>0</v>
      </c>
      <c r="V92" s="784"/>
      <c r="W92" s="456"/>
      <c r="X92" s="757"/>
    </row>
    <row r="93" spans="2:24" ht="14.25" customHeight="1">
      <c r="B93" s="224">
        <v>8</v>
      </c>
      <c r="C93" s="225"/>
      <c r="D93" s="237" t="s">
        <v>410</v>
      </c>
      <c r="E93" s="312"/>
      <c r="F93" s="357"/>
      <c r="G93" s="226">
        <v>10000</v>
      </c>
      <c r="H93" s="521">
        <f>H82</f>
        <v>45988</v>
      </c>
      <c r="I93" s="757"/>
      <c r="J93" s="760"/>
      <c r="K93" s="203"/>
      <c r="L93" s="224">
        <v>8</v>
      </c>
      <c r="M93" s="330" t="s">
        <v>396</v>
      </c>
      <c r="N93" s="237" t="s">
        <v>399</v>
      </c>
      <c r="O93" s="312"/>
      <c r="P93" s="357"/>
      <c r="Q93" s="226">
        <v>21014.75</v>
      </c>
      <c r="R93" s="649" t="s">
        <v>411</v>
      </c>
      <c r="S93" s="486" t="s">
        <v>412</v>
      </c>
      <c r="T93" s="521">
        <v>46022</v>
      </c>
      <c r="U93" s="636">
        <v>21272.133971965242</v>
      </c>
      <c r="V93" s="784"/>
      <c r="W93" s="644">
        <v>46058</v>
      </c>
      <c r="X93" s="757"/>
    </row>
    <row r="94" spans="2:24" ht="14.25" customHeight="1">
      <c r="B94" s="224">
        <v>8</v>
      </c>
      <c r="C94" s="225"/>
      <c r="D94" s="237" t="s">
        <v>413</v>
      </c>
      <c r="E94" s="312"/>
      <c r="F94" s="357"/>
      <c r="G94" s="226">
        <v>50000</v>
      </c>
      <c r="H94" s="521">
        <f t="shared" si="13"/>
        <v>45988</v>
      </c>
      <c r="I94" s="757"/>
      <c r="J94" s="760"/>
      <c r="K94" s="203"/>
      <c r="L94" s="224">
        <v>8</v>
      </c>
      <c r="M94" s="330" t="s">
        <v>396</v>
      </c>
      <c r="N94" s="237" t="s">
        <v>414</v>
      </c>
      <c r="O94" s="312"/>
      <c r="P94" s="357"/>
      <c r="Q94" s="226">
        <v>7250</v>
      </c>
      <c r="R94" s="649" t="s">
        <v>415</v>
      </c>
      <c r="S94" s="486" t="s">
        <v>416</v>
      </c>
      <c r="T94" s="664">
        <v>45991</v>
      </c>
      <c r="U94" s="636">
        <v>6733.7741272209005</v>
      </c>
      <c r="V94" s="784"/>
      <c r="W94" s="625" t="s">
        <v>417</v>
      </c>
      <c r="X94" s="757"/>
    </row>
    <row r="95" spans="2:24" ht="14.25" customHeight="1">
      <c r="B95" s="224">
        <v>8</v>
      </c>
      <c r="C95" s="225"/>
      <c r="D95" s="237" t="s">
        <v>418</v>
      </c>
      <c r="E95" s="312"/>
      <c r="F95" s="357"/>
      <c r="G95" s="226">
        <v>60000</v>
      </c>
      <c r="H95" s="521">
        <f t="shared" si="13"/>
        <v>45988</v>
      </c>
      <c r="I95" s="757"/>
      <c r="J95" s="760"/>
      <c r="K95" s="203"/>
      <c r="L95" s="224">
        <v>8</v>
      </c>
      <c r="M95" s="330" t="s">
        <v>396</v>
      </c>
      <c r="N95" s="237"/>
      <c r="O95" s="439"/>
      <c r="P95" s="511"/>
      <c r="Q95" s="226"/>
      <c r="R95" s="649"/>
      <c r="S95" s="486"/>
      <c r="T95" s="414" t="str">
        <f t="shared" ref="T95:T112" si="15">IF(W95&gt;1,EOMONTH(W95,0),"")</f>
        <v/>
      </c>
      <c r="U95" s="399">
        <f t="shared" si="14"/>
        <v>0</v>
      </c>
      <c r="V95" s="784"/>
      <c r="W95" s="456"/>
      <c r="X95" s="757"/>
    </row>
    <row r="96" spans="2:24" ht="14.25" customHeight="1">
      <c r="B96" s="224">
        <v>8</v>
      </c>
      <c r="C96" s="225"/>
      <c r="D96" s="237"/>
      <c r="E96" s="312"/>
      <c r="F96" s="357"/>
      <c r="G96" s="226"/>
      <c r="H96" s="521"/>
      <c r="I96" s="757"/>
      <c r="J96" s="760"/>
      <c r="K96" s="203"/>
      <c r="L96" s="224">
        <v>8</v>
      </c>
      <c r="M96" s="330" t="s">
        <v>396</v>
      </c>
      <c r="N96" s="237" t="s">
        <v>403</v>
      </c>
      <c r="O96" s="312"/>
      <c r="P96" s="357"/>
      <c r="Q96" s="226">
        <v>0</v>
      </c>
      <c r="R96" s="649"/>
      <c r="S96" s="486"/>
      <c r="T96" s="414"/>
      <c r="U96" s="399">
        <f t="shared" si="14"/>
        <v>0</v>
      </c>
      <c r="V96" s="784"/>
      <c r="W96" s="456"/>
      <c r="X96" s="757"/>
    </row>
    <row r="97" spans="2:25" ht="14.25" customHeight="1">
      <c r="B97" s="224">
        <v>8</v>
      </c>
      <c r="C97" s="225"/>
      <c r="D97" s="237"/>
      <c r="E97" s="312"/>
      <c r="F97" s="357"/>
      <c r="G97" s="226"/>
      <c r="H97" s="521"/>
      <c r="I97" s="757"/>
      <c r="J97" s="760"/>
      <c r="K97" s="203"/>
      <c r="L97" s="224">
        <v>8</v>
      </c>
      <c r="M97" s="330" t="s">
        <v>396</v>
      </c>
      <c r="N97" s="237"/>
      <c r="O97" s="439"/>
      <c r="P97" s="511"/>
      <c r="Q97" s="226"/>
      <c r="R97" s="649"/>
      <c r="S97" s="486"/>
      <c r="T97" s="414" t="str">
        <f t="shared" si="15"/>
        <v/>
      </c>
      <c r="U97" s="399">
        <f t="shared" si="14"/>
        <v>0</v>
      </c>
      <c r="V97" s="784"/>
      <c r="W97" s="456"/>
      <c r="X97" s="757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57"/>
      <c r="J98" s="760"/>
      <c r="K98" s="203"/>
      <c r="L98" s="224">
        <v>8</v>
      </c>
      <c r="M98" s="330" t="s">
        <v>396</v>
      </c>
      <c r="N98" s="237"/>
      <c r="O98" s="439"/>
      <c r="P98" s="511"/>
      <c r="Q98" s="226"/>
      <c r="R98" s="649"/>
      <c r="S98" s="486"/>
      <c r="T98" s="414" t="str">
        <f t="shared" si="15"/>
        <v/>
      </c>
      <c r="U98" s="399">
        <f t="shared" si="14"/>
        <v>0</v>
      </c>
      <c r="V98" s="784"/>
      <c r="W98" s="456"/>
      <c r="X98" s="757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57"/>
      <c r="J99" s="760"/>
      <c r="K99" s="203"/>
      <c r="L99" s="224">
        <v>8</v>
      </c>
      <c r="M99" s="330" t="s">
        <v>396</v>
      </c>
      <c r="N99" s="237" t="s">
        <v>410</v>
      </c>
      <c r="O99" s="312"/>
      <c r="P99" s="357"/>
      <c r="Q99" s="226">
        <v>0</v>
      </c>
      <c r="R99" s="649"/>
      <c r="S99" s="486"/>
      <c r="T99" s="414"/>
      <c r="U99" s="399">
        <f t="shared" si="14"/>
        <v>0</v>
      </c>
      <c r="V99" s="784"/>
      <c r="W99" s="456"/>
      <c r="X99" s="757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57"/>
      <c r="J100" s="760"/>
      <c r="K100" s="203"/>
      <c r="L100" s="224">
        <v>8</v>
      </c>
      <c r="M100" s="330" t="s">
        <v>396</v>
      </c>
      <c r="N100" s="237"/>
      <c r="O100" s="439"/>
      <c r="P100" s="511"/>
      <c r="Q100" s="226"/>
      <c r="R100" s="649"/>
      <c r="S100" s="486"/>
      <c r="T100" s="414" t="str">
        <f t="shared" si="15"/>
        <v/>
      </c>
      <c r="U100" s="399">
        <f t="shared" si="14"/>
        <v>0</v>
      </c>
      <c r="V100" s="784"/>
      <c r="W100" s="456"/>
      <c r="X100" s="757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57"/>
      <c r="J101" s="760"/>
      <c r="K101" s="203"/>
      <c r="L101" s="224">
        <v>8</v>
      </c>
      <c r="M101" s="330" t="s">
        <v>396</v>
      </c>
      <c r="N101" s="237"/>
      <c r="O101" s="439"/>
      <c r="P101" s="511"/>
      <c r="Q101" s="226"/>
      <c r="R101" s="649"/>
      <c r="S101" s="486"/>
      <c r="T101" s="414" t="str">
        <f t="shared" si="15"/>
        <v/>
      </c>
      <c r="U101" s="399">
        <f t="shared" si="14"/>
        <v>0</v>
      </c>
      <c r="V101" s="784"/>
      <c r="W101" s="456"/>
      <c r="X101" s="757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57"/>
      <c r="J102" s="760"/>
      <c r="K102" s="203"/>
      <c r="L102" s="224">
        <v>8</v>
      </c>
      <c r="M102" s="330" t="s">
        <v>396</v>
      </c>
      <c r="N102" s="237" t="s">
        <v>413</v>
      </c>
      <c r="O102" s="665">
        <v>0.5</v>
      </c>
      <c r="P102" s="357">
        <v>59734.19</v>
      </c>
      <c r="Q102" s="226">
        <f>O102*P102</f>
        <v>29867.095000000001</v>
      </c>
      <c r="R102" s="649"/>
      <c r="S102" s="486" t="s">
        <v>419</v>
      </c>
      <c r="T102" s="664">
        <f t="shared" si="15"/>
        <v>45991</v>
      </c>
      <c r="U102" s="636">
        <v>27740.451250517064</v>
      </c>
      <c r="V102" s="784"/>
      <c r="W102" s="644">
        <v>45974</v>
      </c>
      <c r="X102" s="757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57"/>
      <c r="J103" s="760"/>
      <c r="K103" s="203"/>
      <c r="L103" s="224">
        <v>8</v>
      </c>
      <c r="M103" s="330" t="s">
        <v>396</v>
      </c>
      <c r="N103" s="237"/>
      <c r="O103" s="666">
        <v>0.5</v>
      </c>
      <c r="P103" s="511"/>
      <c r="Q103" s="226">
        <f>O103*P102</f>
        <v>29867.095000000001</v>
      </c>
      <c r="R103" s="649"/>
      <c r="S103" s="486" t="s">
        <v>419</v>
      </c>
      <c r="T103" s="664">
        <v>45991</v>
      </c>
      <c r="U103" s="636">
        <v>27740.451250517064</v>
      </c>
      <c r="V103" s="784"/>
      <c r="W103" s="644">
        <v>45995</v>
      </c>
      <c r="X103" s="757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57"/>
      <c r="J104" s="760"/>
      <c r="K104" s="203"/>
      <c r="L104" s="224">
        <v>8</v>
      </c>
      <c r="M104" s="330" t="s">
        <v>396</v>
      </c>
      <c r="N104" s="237" t="s">
        <v>420</v>
      </c>
      <c r="O104" s="439"/>
      <c r="P104" s="511"/>
      <c r="Q104" s="226">
        <v>6123</v>
      </c>
      <c r="R104" s="649" t="s">
        <v>421</v>
      </c>
      <c r="S104" s="486"/>
      <c r="T104" s="414">
        <v>46081</v>
      </c>
      <c r="U104" s="399">
        <v>0</v>
      </c>
      <c r="V104" s="784"/>
      <c r="W104" s="456">
        <v>46067</v>
      </c>
      <c r="X104" s="757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57"/>
      <c r="J105" s="760"/>
      <c r="K105" s="203"/>
      <c r="L105" s="224">
        <v>8</v>
      </c>
      <c r="M105" s="330" t="s">
        <v>396</v>
      </c>
      <c r="N105" s="237" t="s">
        <v>422</v>
      </c>
      <c r="O105" s="697">
        <v>111075</v>
      </c>
      <c r="P105" s="511">
        <v>0.5</v>
      </c>
      <c r="Q105" s="226">
        <f>O105*P105</f>
        <v>55537.5</v>
      </c>
      <c r="R105" s="753" t="s">
        <v>423</v>
      </c>
      <c r="S105" s="486" t="s">
        <v>424</v>
      </c>
      <c r="T105" s="521">
        <v>46053</v>
      </c>
      <c r="U105" s="636">
        <v>56217.710915810079</v>
      </c>
      <c r="V105" s="784"/>
      <c r="W105" s="644">
        <v>46045</v>
      </c>
      <c r="X105" s="757"/>
      <c r="Y105" s="61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57"/>
      <c r="J106" s="760"/>
      <c r="K106" s="203"/>
      <c r="L106" s="224">
        <v>8</v>
      </c>
      <c r="M106" s="330" t="s">
        <v>396</v>
      </c>
      <c r="N106" s="237" t="s">
        <v>425</v>
      </c>
      <c r="O106" s="439"/>
      <c r="P106" s="511">
        <v>0.5</v>
      </c>
      <c r="Q106" s="226">
        <f>O105*P106</f>
        <v>55537.5</v>
      </c>
      <c r="R106" s="755"/>
      <c r="S106" s="486" t="s">
        <v>424</v>
      </c>
      <c r="T106" s="521">
        <v>46053</v>
      </c>
      <c r="U106" s="636">
        <v>56217.710915810079</v>
      </c>
      <c r="V106" s="784"/>
      <c r="W106" s="644">
        <f>W105+13</f>
        <v>46058</v>
      </c>
      <c r="X106" s="757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57"/>
      <c r="J107" s="760"/>
      <c r="K107" s="203"/>
      <c r="L107" s="224">
        <v>8</v>
      </c>
      <c r="M107" s="330" t="s">
        <v>396</v>
      </c>
      <c r="N107" s="237"/>
      <c r="O107" s="439"/>
      <c r="P107" s="511"/>
      <c r="Q107" s="226"/>
      <c r="R107" s="649"/>
      <c r="S107" s="486"/>
      <c r="T107" s="414" t="str">
        <f t="shared" si="15"/>
        <v/>
      </c>
      <c r="U107" s="399">
        <f t="shared" si="14"/>
        <v>0</v>
      </c>
      <c r="V107" s="784"/>
      <c r="W107" s="456"/>
      <c r="X107" s="757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57"/>
      <c r="J108" s="760"/>
      <c r="K108" s="203"/>
      <c r="L108" s="224">
        <v>8</v>
      </c>
      <c r="M108" s="330" t="s">
        <v>396</v>
      </c>
      <c r="N108" s="237" t="s">
        <v>426</v>
      </c>
      <c r="O108" s="439"/>
      <c r="P108" s="511"/>
      <c r="Q108" s="226">
        <v>19063</v>
      </c>
      <c r="R108" s="649" t="s">
        <v>427</v>
      </c>
      <c r="S108" s="486" t="s">
        <v>428</v>
      </c>
      <c r="T108" s="521">
        <v>46022</v>
      </c>
      <c r="U108" s="636">
        <v>19296.479373181857</v>
      </c>
      <c r="V108" s="784"/>
      <c r="W108" s="644">
        <f>W119</f>
        <v>46003</v>
      </c>
      <c r="X108" s="757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57"/>
      <c r="J109" s="760"/>
      <c r="K109" s="203"/>
      <c r="L109" s="224">
        <v>8</v>
      </c>
      <c r="M109" s="330" t="s">
        <v>396</v>
      </c>
      <c r="N109" s="237"/>
      <c r="O109" s="439"/>
      <c r="P109" s="511"/>
      <c r="Q109" s="226"/>
      <c r="R109" s="649"/>
      <c r="S109" s="486"/>
      <c r="T109" s="414" t="str">
        <f t="shared" si="15"/>
        <v/>
      </c>
      <c r="U109" s="636">
        <v>0</v>
      </c>
      <c r="V109" s="784"/>
      <c r="W109" s="456"/>
      <c r="X109" s="757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57"/>
      <c r="J110" s="760"/>
      <c r="K110" s="203"/>
      <c r="L110" s="224">
        <v>8</v>
      </c>
      <c r="M110" s="330" t="s">
        <v>396</v>
      </c>
      <c r="N110" s="237" t="s">
        <v>429</v>
      </c>
      <c r="O110" s="439"/>
      <c r="P110" s="511"/>
      <c r="Q110" s="226">
        <v>9574.73</v>
      </c>
      <c r="R110" s="649" t="s">
        <v>430</v>
      </c>
      <c r="S110" s="486" t="s">
        <v>431</v>
      </c>
      <c r="T110" s="521">
        <v>46022</v>
      </c>
      <c r="U110" s="636">
        <v>9691.9991579911621</v>
      </c>
      <c r="V110" s="784"/>
      <c r="W110" s="625">
        <v>46009</v>
      </c>
      <c r="X110" s="757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36"/>
      <c r="I111" s="757"/>
      <c r="J111" s="760"/>
      <c r="K111" s="203"/>
      <c r="L111" s="224">
        <v>8</v>
      </c>
      <c r="M111" s="330" t="s">
        <v>396</v>
      </c>
      <c r="N111" s="237" t="s">
        <v>432</v>
      </c>
      <c r="O111" s="439"/>
      <c r="P111" s="357"/>
      <c r="Q111" s="226">
        <v>16825.900000000001</v>
      </c>
      <c r="R111" s="652"/>
      <c r="S111" s="486" t="s">
        <v>431</v>
      </c>
      <c r="T111" s="536">
        <v>46022</v>
      </c>
      <c r="U111" s="699">
        <v>17031.979871228064</v>
      </c>
      <c r="V111" s="784"/>
      <c r="W111" s="625">
        <v>46003</v>
      </c>
      <c r="X111" s="757"/>
    </row>
    <row r="112" spans="2:25" ht="15" customHeight="1" thickBot="1">
      <c r="B112" s="224">
        <v>8</v>
      </c>
      <c r="C112" s="205"/>
      <c r="D112" s="206"/>
      <c r="E112" s="354"/>
      <c r="F112" s="351"/>
      <c r="G112" s="207"/>
      <c r="H112" s="531"/>
      <c r="I112" s="758"/>
      <c r="J112" s="761"/>
      <c r="K112" s="208"/>
      <c r="L112" s="204">
        <v>8</v>
      </c>
      <c r="M112" s="329" t="s">
        <v>396</v>
      </c>
      <c r="N112" s="206"/>
      <c r="O112" s="440"/>
      <c r="P112" s="351"/>
      <c r="Q112" s="207"/>
      <c r="R112" s="650"/>
      <c r="S112" s="487"/>
      <c r="T112" s="415" t="str">
        <f t="shared" si="15"/>
        <v/>
      </c>
      <c r="U112" s="400">
        <f t="shared" si="14"/>
        <v>0</v>
      </c>
      <c r="V112" s="785"/>
      <c r="W112" s="457"/>
      <c r="X112" s="758"/>
    </row>
    <row r="113" spans="1:24" ht="22.5" customHeight="1" thickBot="1">
      <c r="A113" s="4"/>
      <c r="B113" s="238"/>
      <c r="C113" s="75"/>
      <c r="D113" s="75"/>
      <c r="E113" s="75"/>
      <c r="F113" s="365"/>
      <c r="G113" s="75"/>
      <c r="H113" s="420"/>
      <c r="I113" s="336"/>
      <c r="J113" s="337"/>
      <c r="K113" s="75" t="s">
        <v>433</v>
      </c>
      <c r="L113" s="238"/>
      <c r="M113" s="75"/>
      <c r="N113" s="75"/>
      <c r="O113" s="441"/>
      <c r="P113" s="365"/>
      <c r="Q113" s="75"/>
      <c r="R113" s="655"/>
      <c r="S113" s="238"/>
      <c r="T113" s="420" t="str">
        <f t="shared" ref="T113:T166" si="16">IF(W113&gt;1,EOMONTH(W113,0),"")</f>
        <v/>
      </c>
      <c r="U113" s="385"/>
      <c r="V113" s="385"/>
      <c r="W113" s="425"/>
      <c r="X113" s="588"/>
    </row>
    <row r="114" spans="1:24" ht="15" customHeight="1">
      <c r="B114" s="213">
        <v>9</v>
      </c>
      <c r="C114" s="339" t="s">
        <v>434</v>
      </c>
      <c r="D114" s="229" t="s">
        <v>435</v>
      </c>
      <c r="E114" s="216"/>
      <c r="F114" s="334"/>
      <c r="G114" s="476">
        <f>D200</f>
        <v>62525</v>
      </c>
      <c r="H114" s="519">
        <f>'Project Plan'!G22+7</f>
        <v>45988</v>
      </c>
      <c r="I114" s="777">
        <f>SUM(G114:G125)</f>
        <v>198850</v>
      </c>
      <c r="J114" s="747">
        <f>F200+F201</f>
        <v>220944</v>
      </c>
      <c r="K114" s="190"/>
      <c r="L114" s="213">
        <v>9</v>
      </c>
      <c r="M114" s="320" t="s">
        <v>436</v>
      </c>
      <c r="N114" s="229"/>
      <c r="O114" s="431"/>
      <c r="P114" s="334"/>
      <c r="Q114" s="217"/>
      <c r="R114" s="466"/>
      <c r="S114" s="488"/>
      <c r="T114" s="416" t="str">
        <f t="shared" si="16"/>
        <v/>
      </c>
      <c r="U114" s="402">
        <f t="shared" ref="U114:U125" si="17">(Q114/$X$114*$J$114)</f>
        <v>0</v>
      </c>
      <c r="V114" s="762">
        <f>J114-SUM(U114:U125)</f>
        <v>0</v>
      </c>
      <c r="W114" s="458"/>
      <c r="X114" s="744">
        <f>SUM(Q114:Q125)</f>
        <v>361334.00000000006</v>
      </c>
    </row>
    <row r="115" spans="1:24" ht="15" customHeight="1">
      <c r="B115" s="213">
        <v>9</v>
      </c>
      <c r="C115" s="339"/>
      <c r="D115" s="230" t="s">
        <v>437</v>
      </c>
      <c r="E115" s="216"/>
      <c r="F115" s="355"/>
      <c r="G115" s="476">
        <f>D201</f>
        <v>136325</v>
      </c>
      <c r="H115" s="518">
        <f>'Project Plan'!G29+7</f>
        <v>45992</v>
      </c>
      <c r="I115" s="778"/>
      <c r="J115" s="748"/>
      <c r="K115" s="190"/>
      <c r="L115" s="213">
        <v>9</v>
      </c>
      <c r="M115" s="320" t="s">
        <v>436</v>
      </c>
      <c r="N115" s="230" t="s">
        <v>355</v>
      </c>
      <c r="O115" s="448">
        <f>AF29+AF30</f>
        <v>361334</v>
      </c>
      <c r="P115" s="449">
        <v>0.1</v>
      </c>
      <c r="Q115" s="217">
        <f t="shared" ref="Q115:Q122" si="18">$O$115*P115</f>
        <v>36133.4</v>
      </c>
      <c r="R115" s="791" t="s">
        <v>356</v>
      </c>
      <c r="S115" s="481" t="s">
        <v>438</v>
      </c>
      <c r="T115" s="620">
        <v>45961</v>
      </c>
      <c r="U115" s="635">
        <v>22094.399999999998</v>
      </c>
      <c r="V115" s="763"/>
      <c r="W115" s="624">
        <v>45960</v>
      </c>
      <c r="X115" s="745"/>
    </row>
    <row r="116" spans="1:24" ht="15" customHeight="1">
      <c r="B116" s="282">
        <v>9</v>
      </c>
      <c r="C116" s="391"/>
      <c r="D116" s="284"/>
      <c r="E116" s="305"/>
      <c r="F116" s="341"/>
      <c r="G116" s="285"/>
      <c r="H116" s="527"/>
      <c r="I116" s="778"/>
      <c r="J116" s="748"/>
      <c r="K116" s="190"/>
      <c r="L116" s="282">
        <v>9</v>
      </c>
      <c r="M116" s="392" t="s">
        <v>436</v>
      </c>
      <c r="N116" s="284" t="s">
        <v>140</v>
      </c>
      <c r="O116" s="432"/>
      <c r="P116" s="447">
        <v>0.15</v>
      </c>
      <c r="Q116" s="217">
        <f t="shared" si="18"/>
        <v>54200.1</v>
      </c>
      <c r="R116" s="792"/>
      <c r="S116" s="482" t="s">
        <v>361</v>
      </c>
      <c r="T116" s="630">
        <v>45961</v>
      </c>
      <c r="U116" s="635">
        <v>33141.599999999991</v>
      </c>
      <c r="V116" s="763"/>
      <c r="W116" s="643">
        <v>45967</v>
      </c>
      <c r="X116" s="745"/>
    </row>
    <row r="117" spans="1:24" ht="15" customHeight="1">
      <c r="B117" s="282">
        <v>9</v>
      </c>
      <c r="C117" s="391"/>
      <c r="D117" s="284"/>
      <c r="E117" s="305"/>
      <c r="F117" s="341"/>
      <c r="G117" s="285"/>
      <c r="H117" s="527"/>
      <c r="I117" s="778"/>
      <c r="J117" s="748"/>
      <c r="K117" s="190"/>
      <c r="L117" s="282">
        <v>9</v>
      </c>
      <c r="M117" s="392" t="s">
        <v>436</v>
      </c>
      <c r="N117" s="284" t="s">
        <v>364</v>
      </c>
      <c r="O117" s="432"/>
      <c r="P117" s="447">
        <v>0.2</v>
      </c>
      <c r="Q117" s="217">
        <f t="shared" si="18"/>
        <v>72266.8</v>
      </c>
      <c r="R117" s="792"/>
      <c r="S117" s="482" t="s">
        <v>365</v>
      </c>
      <c r="T117" s="527">
        <f t="shared" si="16"/>
        <v>46022</v>
      </c>
      <c r="U117" s="635">
        <v>44188.799999999996</v>
      </c>
      <c r="V117" s="763"/>
      <c r="W117" s="643">
        <v>46003</v>
      </c>
      <c r="X117" s="745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78"/>
      <c r="J118" s="748"/>
      <c r="K118" s="190"/>
      <c r="L118" s="282">
        <v>9</v>
      </c>
      <c r="M118" s="392" t="s">
        <v>436</v>
      </c>
      <c r="N118" s="284" t="s">
        <v>368</v>
      </c>
      <c r="O118" s="432"/>
      <c r="P118" s="447">
        <v>0.25</v>
      </c>
      <c r="Q118" s="217">
        <f t="shared" si="18"/>
        <v>90333.5</v>
      </c>
      <c r="R118" s="792"/>
      <c r="S118" s="482" t="s">
        <v>369</v>
      </c>
      <c r="T118" s="527">
        <v>46022</v>
      </c>
      <c r="U118" s="635">
        <v>55235.999999999993</v>
      </c>
      <c r="V118" s="763"/>
      <c r="W118" s="643">
        <v>46003</v>
      </c>
      <c r="X118" s="745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78"/>
      <c r="J119" s="748"/>
      <c r="K119" s="190"/>
      <c r="L119" s="282">
        <v>9</v>
      </c>
      <c r="M119" s="392" t="s">
        <v>436</v>
      </c>
      <c r="N119" s="284" t="s">
        <v>370</v>
      </c>
      <c r="O119" s="432"/>
      <c r="P119" s="447">
        <v>0.1</v>
      </c>
      <c r="Q119" s="217">
        <f t="shared" si="18"/>
        <v>36133.4</v>
      </c>
      <c r="R119" s="792"/>
      <c r="S119" s="482" t="s">
        <v>371</v>
      </c>
      <c r="T119" s="527">
        <f t="shared" si="16"/>
        <v>46022</v>
      </c>
      <c r="U119" s="635">
        <v>22094.399999999998</v>
      </c>
      <c r="V119" s="763"/>
      <c r="W119" s="643">
        <v>46003</v>
      </c>
      <c r="X119" s="745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78"/>
      <c r="J120" s="748"/>
      <c r="K120" s="190"/>
      <c r="L120" s="282">
        <v>9</v>
      </c>
      <c r="M120" s="392" t="s">
        <v>436</v>
      </c>
      <c r="N120" s="284" t="s">
        <v>372</v>
      </c>
      <c r="O120" s="692">
        <f>Q120+Q136+Q64+Q37</f>
        <v>101512.13800000001</v>
      </c>
      <c r="P120" s="447">
        <v>0.1</v>
      </c>
      <c r="Q120" s="217">
        <f t="shared" si="18"/>
        <v>36133.4</v>
      </c>
      <c r="R120" s="792"/>
      <c r="S120" s="482" t="s">
        <v>439</v>
      </c>
      <c r="T120" s="527">
        <v>46022</v>
      </c>
      <c r="U120" s="635">
        <v>22094.399999999998</v>
      </c>
      <c r="V120" s="763"/>
      <c r="W120" s="643">
        <v>46015</v>
      </c>
      <c r="X120" s="745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78"/>
      <c r="J121" s="748"/>
      <c r="K121" s="190"/>
      <c r="L121" s="282">
        <v>9</v>
      </c>
      <c r="M121" s="392" t="s">
        <v>436</v>
      </c>
      <c r="N121" s="284" t="s">
        <v>373</v>
      </c>
      <c r="O121" s="432"/>
      <c r="P121" s="447">
        <v>0.05</v>
      </c>
      <c r="Q121" s="217">
        <f t="shared" si="18"/>
        <v>18066.7</v>
      </c>
      <c r="R121" s="792"/>
      <c r="S121" s="482" t="s">
        <v>374</v>
      </c>
      <c r="T121" s="527">
        <v>46022</v>
      </c>
      <c r="U121" s="635">
        <v>11047.199999999999</v>
      </c>
      <c r="V121" s="763"/>
      <c r="W121" s="643">
        <v>46051</v>
      </c>
      <c r="X121" s="745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78"/>
      <c r="J122" s="748"/>
      <c r="K122" s="190"/>
      <c r="L122" s="282">
        <v>9</v>
      </c>
      <c r="M122" s="392" t="s">
        <v>436</v>
      </c>
      <c r="N122" s="284" t="s">
        <v>375</v>
      </c>
      <c r="O122" s="432"/>
      <c r="P122" s="447">
        <v>0.05</v>
      </c>
      <c r="Q122" s="217">
        <f t="shared" si="18"/>
        <v>18066.7</v>
      </c>
      <c r="R122" s="739"/>
      <c r="S122" s="482"/>
      <c r="T122" s="410">
        <f t="shared" si="16"/>
        <v>46081</v>
      </c>
      <c r="U122" s="395">
        <f t="shared" si="17"/>
        <v>11047.199999999999</v>
      </c>
      <c r="V122" s="763"/>
      <c r="W122" s="452">
        <f>W121+30</f>
        <v>46081</v>
      </c>
      <c r="X122" s="745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78"/>
      <c r="J123" s="748"/>
      <c r="K123" s="190"/>
      <c r="L123" s="282">
        <v>9</v>
      </c>
      <c r="M123" s="392" t="s">
        <v>436</v>
      </c>
      <c r="N123" s="284"/>
      <c r="O123" s="432"/>
      <c r="P123" s="341"/>
      <c r="Q123" s="285"/>
      <c r="R123" s="645"/>
      <c r="S123" s="482"/>
      <c r="T123" s="410" t="str">
        <f t="shared" si="16"/>
        <v/>
      </c>
      <c r="U123" s="395">
        <f t="shared" si="17"/>
        <v>0</v>
      </c>
      <c r="V123" s="763"/>
      <c r="W123" s="452"/>
      <c r="X123" s="745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78"/>
      <c r="J124" s="748"/>
      <c r="K124" s="190"/>
      <c r="L124" s="282">
        <v>9</v>
      </c>
      <c r="M124" s="392" t="s">
        <v>436</v>
      </c>
      <c r="N124" s="284"/>
      <c r="O124" s="432"/>
      <c r="P124" s="341"/>
      <c r="Q124" s="285"/>
      <c r="R124" s="645"/>
      <c r="S124" s="482"/>
      <c r="T124" s="410"/>
      <c r="U124" s="395">
        <f t="shared" si="17"/>
        <v>0</v>
      </c>
      <c r="V124" s="763"/>
      <c r="W124" s="452"/>
      <c r="X124" s="745"/>
    </row>
    <row r="125" spans="1:24" ht="15" customHeight="1" thickBot="1">
      <c r="B125" s="218">
        <v>9</v>
      </c>
      <c r="C125" s="335"/>
      <c r="D125" s="231"/>
      <c r="E125" s="220"/>
      <c r="F125" s="356"/>
      <c r="G125" s="232"/>
      <c r="H125" s="528"/>
      <c r="I125" s="779"/>
      <c r="J125" s="749"/>
      <c r="K125" s="265"/>
      <c r="L125" s="218">
        <v>9</v>
      </c>
      <c r="M125" s="338" t="s">
        <v>436</v>
      </c>
      <c r="N125" s="231"/>
      <c r="O125" s="433"/>
      <c r="P125" s="356"/>
      <c r="Q125" s="232"/>
      <c r="R125" s="646"/>
      <c r="S125" s="483"/>
      <c r="T125" s="411" t="str">
        <f t="shared" si="16"/>
        <v/>
      </c>
      <c r="U125" s="396">
        <f t="shared" si="17"/>
        <v>0</v>
      </c>
      <c r="V125" s="764"/>
      <c r="W125" s="453"/>
      <c r="X125" s="746"/>
    </row>
    <row r="126" spans="1:24" ht="14.4" thickBot="1">
      <c r="A126" s="4"/>
      <c r="B126" s="192"/>
      <c r="C126" s="209"/>
      <c r="D126" s="210"/>
      <c r="E126" s="193"/>
      <c r="F126" s="352"/>
      <c r="G126" s="194"/>
      <c r="H126" s="529"/>
      <c r="I126" s="523"/>
      <c r="J126" s="301"/>
      <c r="K126" s="4"/>
      <c r="L126" s="192"/>
      <c r="M126" s="209"/>
      <c r="N126" s="210"/>
      <c r="O126" s="434"/>
      <c r="P126" s="352"/>
      <c r="Q126" s="194"/>
      <c r="R126" s="647"/>
      <c r="S126" s="484"/>
      <c r="T126" s="412" t="str">
        <f t="shared" si="16"/>
        <v/>
      </c>
      <c r="U126" s="401"/>
      <c r="V126" s="383"/>
      <c r="W126" s="454"/>
      <c r="X126" s="523"/>
    </row>
    <row r="127" spans="1:24" ht="14.25" customHeight="1">
      <c r="B127" s="171">
        <v>10</v>
      </c>
      <c r="C127" s="172" t="s">
        <v>440</v>
      </c>
      <c r="D127" s="172" t="s">
        <v>320</v>
      </c>
      <c r="E127" s="173"/>
      <c r="F127" s="366"/>
      <c r="G127" s="240">
        <f>D204</f>
        <v>8500</v>
      </c>
      <c r="H127" s="537">
        <f>H114</f>
        <v>45988</v>
      </c>
      <c r="I127" s="771">
        <f>SUM(G127:G141)</f>
        <v>56854.45</v>
      </c>
      <c r="J127" s="774">
        <f>F204+F207+F208+F206+F205</f>
        <v>63171</v>
      </c>
      <c r="K127" s="241"/>
      <c r="L127" s="171">
        <v>10</v>
      </c>
      <c r="M127" s="331" t="s">
        <v>441</v>
      </c>
      <c r="N127" s="172" t="s">
        <v>442</v>
      </c>
      <c r="O127" s="442"/>
      <c r="P127" s="366"/>
      <c r="Q127" s="240">
        <v>28000</v>
      </c>
      <c r="R127" s="656" t="s">
        <v>443</v>
      </c>
      <c r="S127" s="493" t="s">
        <v>444</v>
      </c>
      <c r="T127" s="537">
        <v>46022</v>
      </c>
      <c r="U127" s="641">
        <v>10041.34475682188</v>
      </c>
      <c r="V127" s="780">
        <f>J127-SUM(U127:U141)</f>
        <v>-7.5403777009341866E-4</v>
      </c>
      <c r="W127" s="691">
        <v>46003</v>
      </c>
      <c r="X127" s="771">
        <f>SUM(Q127:Q141)</f>
        <v>176150.50999999998</v>
      </c>
    </row>
    <row r="128" spans="1:24" ht="14.25" customHeight="1">
      <c r="B128" s="242">
        <v>10</v>
      </c>
      <c r="C128" s="243"/>
      <c r="D128" s="243" t="s">
        <v>321</v>
      </c>
      <c r="E128" s="244"/>
      <c r="F128" s="367"/>
      <c r="G128" s="245">
        <f>D208</f>
        <v>17326.669999999998</v>
      </c>
      <c r="H128" s="538">
        <f>H114</f>
        <v>45988</v>
      </c>
      <c r="I128" s="772"/>
      <c r="J128" s="775"/>
      <c r="K128" s="174"/>
      <c r="L128" s="242">
        <v>10</v>
      </c>
      <c r="M128" s="332" t="s">
        <v>441</v>
      </c>
      <c r="N128" s="243"/>
      <c r="O128" s="443"/>
      <c r="P128" s="367"/>
      <c r="Q128" s="245"/>
      <c r="R128" s="657"/>
      <c r="S128" s="494"/>
      <c r="T128" s="422" t="str">
        <f t="shared" si="16"/>
        <v/>
      </c>
      <c r="U128" s="502">
        <f t="shared" ref="U128:U140" si="19">(Q128/$X$127*$J$127)</f>
        <v>0</v>
      </c>
      <c r="V128" s="781"/>
      <c r="W128" s="463"/>
      <c r="X128" s="772"/>
    </row>
    <row r="129" spans="1:24" ht="14.25" customHeight="1">
      <c r="B129" s="242">
        <v>10</v>
      </c>
      <c r="C129" s="243"/>
      <c r="D129" s="243" t="s">
        <v>442</v>
      </c>
      <c r="E129" s="244"/>
      <c r="F129" s="367"/>
      <c r="G129" s="245">
        <f>D207</f>
        <v>30000</v>
      </c>
      <c r="H129" s="538">
        <f>H114</f>
        <v>45988</v>
      </c>
      <c r="I129" s="772"/>
      <c r="J129" s="775"/>
      <c r="K129" s="174"/>
      <c r="L129" s="242">
        <v>10</v>
      </c>
      <c r="M129" s="332" t="s">
        <v>441</v>
      </c>
      <c r="N129" s="243"/>
      <c r="O129" s="443"/>
      <c r="P129" s="367"/>
      <c r="Q129" s="245"/>
      <c r="R129" s="657"/>
      <c r="S129" s="494"/>
      <c r="T129" s="422" t="str">
        <f t="shared" si="16"/>
        <v/>
      </c>
      <c r="U129" s="407">
        <f t="shared" si="19"/>
        <v>0</v>
      </c>
      <c r="V129" s="781"/>
      <c r="W129" s="463"/>
      <c r="X129" s="772"/>
    </row>
    <row r="130" spans="1:24" ht="14.25" customHeight="1">
      <c r="B130" s="242">
        <v>10</v>
      </c>
      <c r="C130" s="243"/>
      <c r="D130" s="243" t="s">
        <v>322</v>
      </c>
      <c r="E130" s="244"/>
      <c r="F130" s="367"/>
      <c r="G130" s="245">
        <f>D206</f>
        <v>1027.78</v>
      </c>
      <c r="H130" s="538">
        <f>H114</f>
        <v>45988</v>
      </c>
      <c r="I130" s="772"/>
      <c r="J130" s="775"/>
      <c r="K130" s="174"/>
      <c r="L130" s="242">
        <v>10</v>
      </c>
      <c r="M130" s="332" t="s">
        <v>441</v>
      </c>
      <c r="N130" s="243"/>
      <c r="O130" s="443"/>
      <c r="P130" s="367"/>
      <c r="Q130" s="245"/>
      <c r="R130" s="657"/>
      <c r="S130" s="494"/>
      <c r="T130" s="422" t="str">
        <f t="shared" si="16"/>
        <v/>
      </c>
      <c r="U130" s="407">
        <f t="shared" si="19"/>
        <v>0</v>
      </c>
      <c r="V130" s="781"/>
      <c r="W130" s="463"/>
      <c r="X130" s="772"/>
    </row>
    <row r="131" spans="1:24" ht="14.25" customHeight="1">
      <c r="B131" s="242">
        <v>10</v>
      </c>
      <c r="C131" s="243"/>
      <c r="D131" s="243"/>
      <c r="E131" s="244"/>
      <c r="F131" s="367"/>
      <c r="G131" s="245"/>
      <c r="H131" s="539"/>
      <c r="I131" s="772"/>
      <c r="J131" s="775"/>
      <c r="K131" s="174"/>
      <c r="L131" s="242">
        <v>10</v>
      </c>
      <c r="M131" s="332" t="s">
        <v>441</v>
      </c>
      <c r="N131" s="243" t="s">
        <v>355</v>
      </c>
      <c r="O131" s="475">
        <f>SUM(AF31:AF34)</f>
        <v>148150.5</v>
      </c>
      <c r="P131" s="450">
        <v>0.1</v>
      </c>
      <c r="Q131" s="245">
        <f t="shared" ref="Q131:Q136" si="20">$O$131*P131</f>
        <v>14815.050000000001</v>
      </c>
      <c r="R131" s="786" t="s">
        <v>356</v>
      </c>
      <c r="S131" s="495" t="str">
        <f>S115</f>
        <v>The Greenway INV0001528</v>
      </c>
      <c r="T131" s="621">
        <f>T115</f>
        <v>45961</v>
      </c>
      <c r="U131" s="640">
        <v>5312.9654673134628</v>
      </c>
      <c r="V131" s="781"/>
      <c r="W131" s="626">
        <f>W115</f>
        <v>45960</v>
      </c>
      <c r="X131" s="772"/>
    </row>
    <row r="132" spans="1:24" ht="14.25" customHeight="1">
      <c r="B132" s="242">
        <v>10</v>
      </c>
      <c r="C132" s="243"/>
      <c r="D132" s="243"/>
      <c r="E132" s="244"/>
      <c r="F132" s="367"/>
      <c r="G132" s="245"/>
      <c r="H132" s="539"/>
      <c r="I132" s="772"/>
      <c r="J132" s="775"/>
      <c r="K132" s="174"/>
      <c r="L132" s="242">
        <v>10</v>
      </c>
      <c r="M132" s="332" t="s">
        <v>441</v>
      </c>
      <c r="N132" s="243" t="s">
        <v>140</v>
      </c>
      <c r="O132" s="443"/>
      <c r="P132" s="450">
        <v>0.15</v>
      </c>
      <c r="Q132" s="245">
        <f t="shared" si="20"/>
        <v>22222.575000000001</v>
      </c>
      <c r="R132" s="787"/>
      <c r="S132" s="495" t="s">
        <v>361</v>
      </c>
      <c r="T132" s="631">
        <f t="shared" ref="T132:T138" si="21">T116</f>
        <v>45961</v>
      </c>
      <c r="U132" s="640">
        <v>7969.4482009701942</v>
      </c>
      <c r="V132" s="781"/>
      <c r="W132" s="642">
        <f t="shared" ref="W132:W138" si="22">W116</f>
        <v>45967</v>
      </c>
      <c r="X132" s="772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72"/>
      <c r="J133" s="775"/>
      <c r="K133" s="174"/>
      <c r="L133" s="242">
        <v>10</v>
      </c>
      <c r="M133" s="332" t="s">
        <v>441</v>
      </c>
      <c r="N133" s="243" t="s">
        <v>364</v>
      </c>
      <c r="O133" s="443"/>
      <c r="P133" s="450">
        <v>0.2</v>
      </c>
      <c r="Q133" s="245">
        <f t="shared" si="20"/>
        <v>29630.100000000002</v>
      </c>
      <c r="R133" s="787"/>
      <c r="S133" s="495" t="s">
        <v>365</v>
      </c>
      <c r="T133" s="539">
        <f t="shared" si="21"/>
        <v>46022</v>
      </c>
      <c r="U133" s="640">
        <v>10625.930331396716</v>
      </c>
      <c r="V133" s="781"/>
      <c r="W133" s="642">
        <f t="shared" si="22"/>
        <v>46003</v>
      </c>
      <c r="X133" s="772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72"/>
      <c r="J134" s="775"/>
      <c r="K134" s="174"/>
      <c r="L134" s="242">
        <v>10</v>
      </c>
      <c r="M134" s="332" t="s">
        <v>441</v>
      </c>
      <c r="N134" s="243" t="s">
        <v>368</v>
      </c>
      <c r="O134" s="443"/>
      <c r="P134" s="450">
        <v>0.25</v>
      </c>
      <c r="Q134" s="245">
        <f t="shared" si="20"/>
        <v>37037.625</v>
      </c>
      <c r="R134" s="787"/>
      <c r="S134" s="495" t="s">
        <v>369</v>
      </c>
      <c r="T134" s="539">
        <f t="shared" si="21"/>
        <v>46022</v>
      </c>
      <c r="U134" s="640">
        <v>13282.412914245893</v>
      </c>
      <c r="V134" s="781"/>
      <c r="W134" s="642">
        <f t="shared" si="22"/>
        <v>46003</v>
      </c>
      <c r="X134" s="772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72"/>
      <c r="J135" s="775"/>
      <c r="K135" s="174"/>
      <c r="L135" s="242">
        <v>10</v>
      </c>
      <c r="M135" s="332" t="s">
        <v>441</v>
      </c>
      <c r="N135" s="243" t="s">
        <v>370</v>
      </c>
      <c r="O135" s="443"/>
      <c r="P135" s="450">
        <v>0.1</v>
      </c>
      <c r="Q135" s="245">
        <f t="shared" si="20"/>
        <v>14815.050000000001</v>
      </c>
      <c r="R135" s="787"/>
      <c r="S135" s="495" t="s">
        <v>371</v>
      </c>
      <c r="T135" s="539">
        <f t="shared" si="21"/>
        <v>46022</v>
      </c>
      <c r="U135" s="640">
        <v>5312.9651656983579</v>
      </c>
      <c r="V135" s="781"/>
      <c r="W135" s="642">
        <f t="shared" si="22"/>
        <v>46003</v>
      </c>
      <c r="X135" s="772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72"/>
      <c r="J136" s="775"/>
      <c r="K136" s="174"/>
      <c r="L136" s="242">
        <v>10</v>
      </c>
      <c r="M136" s="332" t="s">
        <v>441</v>
      </c>
      <c r="N136" s="243" t="s">
        <v>372</v>
      </c>
      <c r="O136" s="443"/>
      <c r="P136" s="450">
        <v>0.1</v>
      </c>
      <c r="Q136" s="245">
        <f t="shared" si="20"/>
        <v>14815.050000000001</v>
      </c>
      <c r="R136" s="787"/>
      <c r="S136" s="495" t="str">
        <f>S120</f>
        <v>The Greenway INV0001564</v>
      </c>
      <c r="T136" s="539">
        <f t="shared" si="21"/>
        <v>46022</v>
      </c>
      <c r="U136" s="640">
        <v>5312.9651656983579</v>
      </c>
      <c r="V136" s="781"/>
      <c r="W136" s="642">
        <f t="shared" si="22"/>
        <v>46015</v>
      </c>
      <c r="X136" s="772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72"/>
      <c r="J137" s="775"/>
      <c r="K137" s="174"/>
      <c r="L137" s="242">
        <v>10</v>
      </c>
      <c r="M137" s="332" t="s">
        <v>441</v>
      </c>
      <c r="N137" s="243" t="s">
        <v>373</v>
      </c>
      <c r="O137" s="443"/>
      <c r="P137" s="450">
        <v>0.05</v>
      </c>
      <c r="Q137" s="698">
        <v>7407.53</v>
      </c>
      <c r="R137" s="787"/>
      <c r="S137" s="495" t="s">
        <v>374</v>
      </c>
      <c r="T137" s="539">
        <f t="shared" si="21"/>
        <v>46022</v>
      </c>
      <c r="U137" s="640">
        <v>2656.4843759464566</v>
      </c>
      <c r="V137" s="781"/>
      <c r="W137" s="642">
        <f t="shared" si="22"/>
        <v>46051</v>
      </c>
      <c r="X137" s="772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72"/>
      <c r="J138" s="775"/>
      <c r="K138" s="174"/>
      <c r="L138" s="242">
        <v>10</v>
      </c>
      <c r="M138" s="332" t="s">
        <v>441</v>
      </c>
      <c r="N138" s="243" t="s">
        <v>375</v>
      </c>
      <c r="O138" s="443"/>
      <c r="P138" s="450">
        <v>0.05</v>
      </c>
      <c r="Q138" s="245">
        <v>7407.53</v>
      </c>
      <c r="R138" s="788"/>
      <c r="S138" s="495"/>
      <c r="T138" s="423">
        <f t="shared" si="21"/>
        <v>46081</v>
      </c>
      <c r="U138" s="407">
        <f t="shared" si="19"/>
        <v>2656.4843759464566</v>
      </c>
      <c r="V138" s="781"/>
      <c r="W138" s="464">
        <f t="shared" si="22"/>
        <v>46081</v>
      </c>
      <c r="X138" s="772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72"/>
      <c r="J139" s="775"/>
      <c r="K139" s="174"/>
      <c r="L139" s="242">
        <v>10</v>
      </c>
      <c r="M139" s="332" t="s">
        <v>441</v>
      </c>
      <c r="N139" s="243"/>
      <c r="O139" s="443"/>
      <c r="P139" s="367"/>
      <c r="Q139" s="245"/>
      <c r="R139" s="658"/>
      <c r="S139" s="495"/>
      <c r="T139" s="423" t="str">
        <f t="shared" si="16"/>
        <v/>
      </c>
      <c r="U139" s="407">
        <f t="shared" si="19"/>
        <v>0</v>
      </c>
      <c r="V139" s="781"/>
      <c r="W139" s="464"/>
      <c r="X139" s="772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72"/>
      <c r="J140" s="775"/>
      <c r="K140" s="174"/>
      <c r="L140" s="242">
        <v>10</v>
      </c>
      <c r="M140" s="332" t="s">
        <v>441</v>
      </c>
      <c r="N140" s="243"/>
      <c r="O140" s="443"/>
      <c r="P140" s="367"/>
      <c r="Q140" s="245"/>
      <c r="R140" s="658"/>
      <c r="S140" s="495"/>
      <c r="T140" s="423" t="str">
        <f t="shared" si="16"/>
        <v/>
      </c>
      <c r="U140" s="407">
        <f t="shared" si="19"/>
        <v>0</v>
      </c>
      <c r="V140" s="781"/>
      <c r="W140" s="464"/>
      <c r="X140" s="772"/>
    </row>
    <row r="141" spans="1:24" ht="15" customHeight="1" thickBot="1">
      <c r="B141" s="175">
        <v>10</v>
      </c>
      <c r="C141" s="246"/>
      <c r="D141" s="246"/>
      <c r="E141" s="247"/>
      <c r="F141" s="368"/>
      <c r="G141" s="176"/>
      <c r="H141" s="540"/>
      <c r="I141" s="773"/>
      <c r="J141" s="776"/>
      <c r="K141" s="177"/>
      <c r="L141" s="175">
        <v>10</v>
      </c>
      <c r="M141" s="333" t="s">
        <v>441</v>
      </c>
      <c r="N141" s="246"/>
      <c r="O141" s="444"/>
      <c r="P141" s="368"/>
      <c r="Q141" s="176"/>
      <c r="R141" s="659"/>
      <c r="S141" s="496"/>
      <c r="T141" s="424" t="str">
        <f t="shared" si="16"/>
        <v/>
      </c>
      <c r="U141" s="408"/>
      <c r="V141" s="782"/>
      <c r="W141" s="465"/>
      <c r="X141" s="773"/>
    </row>
    <row r="142" spans="1:24" ht="14.4" thickBot="1">
      <c r="A142" s="4"/>
      <c r="B142" s="178"/>
      <c r="C142" s="179"/>
      <c r="D142" s="179"/>
      <c r="E142" s="193"/>
      <c r="F142" s="352"/>
      <c r="G142" s="181"/>
      <c r="H142" s="532"/>
      <c r="I142" s="523"/>
      <c r="J142" s="301"/>
      <c r="K142" s="4"/>
      <c r="L142" s="178"/>
      <c r="M142" s="179"/>
      <c r="N142" s="179"/>
      <c r="O142" s="434"/>
      <c r="P142" s="352"/>
      <c r="Q142" s="512"/>
      <c r="R142" s="651"/>
      <c r="S142" s="489"/>
      <c r="T142" s="412" t="str">
        <f t="shared" si="16"/>
        <v/>
      </c>
      <c r="U142" s="397"/>
      <c r="V142" s="384"/>
      <c r="W142" s="454"/>
      <c r="X142" s="523"/>
    </row>
    <row r="143" spans="1:24" ht="14.25" customHeight="1">
      <c r="B143" s="183">
        <v>11</v>
      </c>
      <c r="C143" s="184" t="s">
        <v>445</v>
      </c>
      <c r="D143" s="253" t="s">
        <v>446</v>
      </c>
      <c r="E143" s="185"/>
      <c r="F143" s="334"/>
      <c r="G143" s="186">
        <v>11000</v>
      </c>
      <c r="H143" s="519">
        <f>'Project Plan'!G40</f>
        <v>45995</v>
      </c>
      <c r="I143" s="744">
        <f>SUM(G143:G149)</f>
        <v>29000</v>
      </c>
      <c r="J143" s="747">
        <f>F203</f>
        <v>32222</v>
      </c>
      <c r="K143" s="187"/>
      <c r="L143" s="183">
        <v>11</v>
      </c>
      <c r="M143" s="253" t="s">
        <v>447</v>
      </c>
      <c r="N143" s="253" t="s">
        <v>446</v>
      </c>
      <c r="O143" s="185"/>
      <c r="P143" s="334"/>
      <c r="Q143" s="186">
        <v>17750</v>
      </c>
      <c r="R143" s="466"/>
      <c r="S143" s="488" t="s">
        <v>448</v>
      </c>
      <c r="T143" s="519">
        <v>46022</v>
      </c>
      <c r="U143" s="635">
        <v>3664.3210490158435</v>
      </c>
      <c r="V143" s="762">
        <f>J143-SUM(U143:U149)</f>
        <v>162.32625171837935</v>
      </c>
      <c r="W143" s="685">
        <v>46045</v>
      </c>
      <c r="X143" s="744">
        <f>SUM(Q143:Q149)</f>
        <v>161123.5</v>
      </c>
    </row>
    <row r="144" spans="1:24" ht="15" customHeight="1">
      <c r="B144" s="213">
        <v>11</v>
      </c>
      <c r="C144" s="215"/>
      <c r="D144" s="215" t="s">
        <v>449</v>
      </c>
      <c r="E144" s="216"/>
      <c r="F144" s="355"/>
      <c r="G144" s="217">
        <v>18000</v>
      </c>
      <c r="H144" s="519">
        <f>H143</f>
        <v>45995</v>
      </c>
      <c r="I144" s="745"/>
      <c r="J144" s="748"/>
      <c r="K144" s="190"/>
      <c r="L144" s="213">
        <v>11</v>
      </c>
      <c r="M144" s="288" t="s">
        <v>447</v>
      </c>
      <c r="N144" s="215" t="s">
        <v>450</v>
      </c>
      <c r="O144" s="216"/>
      <c r="P144" s="355"/>
      <c r="Q144" s="217">
        <v>11373.5</v>
      </c>
      <c r="R144" s="606" t="s">
        <v>451</v>
      </c>
      <c r="S144" s="481" t="s">
        <v>452</v>
      </c>
      <c r="T144" s="604">
        <v>45961</v>
      </c>
      <c r="U144" s="635">
        <v>2679.8847321043354</v>
      </c>
      <c r="V144" s="763"/>
      <c r="W144" s="624">
        <v>45960</v>
      </c>
      <c r="X144" s="745"/>
    </row>
    <row r="145" spans="1:24" ht="15" customHeight="1">
      <c r="B145" s="213">
        <v>11</v>
      </c>
      <c r="C145" s="215"/>
      <c r="D145" s="215"/>
      <c r="E145" s="216"/>
      <c r="F145" s="355"/>
      <c r="G145" s="217"/>
      <c r="H145" s="519"/>
      <c r="I145" s="745"/>
      <c r="J145" s="748"/>
      <c r="K145" s="190"/>
      <c r="L145" s="213">
        <v>11</v>
      </c>
      <c r="M145" s="288" t="s">
        <v>447</v>
      </c>
      <c r="N145" s="286" t="s">
        <v>453</v>
      </c>
      <c r="O145" s="216"/>
      <c r="P145" s="355"/>
      <c r="Q145" s="217">
        <v>6000</v>
      </c>
      <c r="R145" s="606" t="s">
        <v>454</v>
      </c>
      <c r="S145" s="481" t="s">
        <v>455</v>
      </c>
      <c r="T145" s="518">
        <v>45961</v>
      </c>
      <c r="U145" s="635">
        <v>1413.7520018135151</v>
      </c>
      <c r="V145" s="763"/>
      <c r="W145" s="616">
        <v>45954</v>
      </c>
      <c r="X145" s="745"/>
    </row>
    <row r="146" spans="1:24" ht="15" customHeight="1">
      <c r="B146" s="213">
        <v>11</v>
      </c>
      <c r="C146" s="286"/>
      <c r="D146" s="286"/>
      <c r="E146" s="305"/>
      <c r="F146" s="341"/>
      <c r="G146" s="285"/>
      <c r="H146" s="527"/>
      <c r="I146" s="745"/>
      <c r="J146" s="748"/>
      <c r="K146" s="190"/>
      <c r="L146" s="213">
        <v>11</v>
      </c>
      <c r="M146" s="288" t="s">
        <v>447</v>
      </c>
      <c r="N146" s="286" t="s">
        <v>456</v>
      </c>
      <c r="O146" s="432"/>
      <c r="P146" s="341"/>
      <c r="Q146" s="285">
        <v>6000</v>
      </c>
      <c r="R146" s="645"/>
      <c r="S146" s="482"/>
      <c r="T146" s="409">
        <v>46081</v>
      </c>
      <c r="U146" s="395">
        <f t="shared" ref="U146" si="23">(Q146/$X$143*$J$143)</f>
        <v>1199.8994560073484</v>
      </c>
      <c r="V146" s="763"/>
      <c r="W146" s="452">
        <v>46080</v>
      </c>
      <c r="X146" s="745"/>
    </row>
    <row r="147" spans="1:24" ht="15" customHeight="1">
      <c r="B147" s="282"/>
      <c r="C147" s="286"/>
      <c r="D147" s="286"/>
      <c r="E147" s="305"/>
      <c r="F147" s="341"/>
      <c r="G147" s="285"/>
      <c r="H147" s="527"/>
      <c r="I147" s="745"/>
      <c r="J147" s="748"/>
      <c r="K147" s="190"/>
      <c r="L147" s="213">
        <v>11</v>
      </c>
      <c r="M147" s="288" t="s">
        <v>447</v>
      </c>
      <c r="N147" s="286" t="s">
        <v>457</v>
      </c>
      <c r="O147" s="628">
        <v>100800</v>
      </c>
      <c r="P147" s="447">
        <v>0.25</v>
      </c>
      <c r="Q147" s="285">
        <f>O147*P147</f>
        <v>25200</v>
      </c>
      <c r="R147" s="791" t="s">
        <v>458</v>
      </c>
      <c r="S147" s="482" t="s">
        <v>459</v>
      </c>
      <c r="T147" s="527">
        <v>45961</v>
      </c>
      <c r="U147" s="635">
        <v>5937.7584076167632</v>
      </c>
      <c r="V147" s="763"/>
      <c r="W147" s="643">
        <v>45967</v>
      </c>
      <c r="X147" s="745"/>
    </row>
    <row r="148" spans="1:24" ht="15" customHeight="1" thickBot="1">
      <c r="B148" s="282"/>
      <c r="C148" s="286"/>
      <c r="D148" s="286"/>
      <c r="E148" s="305"/>
      <c r="F148" s="341"/>
      <c r="G148" s="285"/>
      <c r="H148" s="527"/>
      <c r="I148" s="745"/>
      <c r="J148" s="748"/>
      <c r="K148" s="190"/>
      <c r="L148" s="213">
        <v>11</v>
      </c>
      <c r="M148" s="377" t="s">
        <v>447</v>
      </c>
      <c r="N148" s="286" t="s">
        <v>457</v>
      </c>
      <c r="O148" s="628"/>
      <c r="P148" s="447">
        <v>0.75</v>
      </c>
      <c r="Q148" s="285">
        <v>75600</v>
      </c>
      <c r="R148" s="792"/>
      <c r="S148" s="483" t="s">
        <v>460</v>
      </c>
      <c r="T148" s="527">
        <v>46022</v>
      </c>
      <c r="U148" s="635">
        <v>17164.058101723815</v>
      </c>
      <c r="V148" s="763"/>
      <c r="W148" s="643">
        <v>46037</v>
      </c>
      <c r="X148" s="745"/>
    </row>
    <row r="149" spans="1:24" ht="15" customHeight="1" thickBot="1">
      <c r="B149" s="218">
        <v>11</v>
      </c>
      <c r="C149" s="219"/>
      <c r="D149" s="219"/>
      <c r="E149" s="220"/>
      <c r="F149" s="356"/>
      <c r="G149" s="232"/>
      <c r="H149" s="528"/>
      <c r="I149" s="746"/>
      <c r="J149" s="749"/>
      <c r="K149" s="191"/>
      <c r="L149" s="218">
        <v>11</v>
      </c>
      <c r="M149" s="316" t="s">
        <v>447</v>
      </c>
      <c r="N149" s="219" t="s">
        <v>457</v>
      </c>
      <c r="O149" s="220"/>
      <c r="P149" s="627"/>
      <c r="Q149" s="232">
        <v>19200</v>
      </c>
      <c r="R149" s="796"/>
      <c r="S149" s="483" t="s">
        <v>562</v>
      </c>
      <c r="T149" s="528">
        <v>46081</v>
      </c>
      <c r="U149" s="638"/>
      <c r="V149" s="764"/>
      <c r="W149" s="453">
        <v>46065</v>
      </c>
      <c r="X149" s="746"/>
    </row>
    <row r="150" spans="1:24" ht="15" customHeight="1" thickBot="1">
      <c r="A150" s="4"/>
      <c r="B150" s="192"/>
      <c r="C150" s="179"/>
      <c r="D150" s="179"/>
      <c r="E150" s="193"/>
      <c r="F150" s="352"/>
      <c r="G150" s="194"/>
      <c r="H150" s="529"/>
      <c r="I150" s="523"/>
      <c r="J150" s="182"/>
      <c r="K150" s="4"/>
      <c r="L150" s="192"/>
      <c r="M150" s="179"/>
      <c r="N150" s="179"/>
      <c r="O150" s="434"/>
      <c r="P150" s="352"/>
      <c r="Q150" s="194"/>
      <c r="R150" s="647"/>
      <c r="S150" s="484"/>
      <c r="T150" s="412" t="str">
        <f t="shared" si="16"/>
        <v/>
      </c>
      <c r="U150" s="401"/>
      <c r="V150" s="383"/>
      <c r="W150" s="454"/>
      <c r="X150" s="523"/>
    </row>
    <row r="151" spans="1:24">
      <c r="B151" s="171">
        <v>12</v>
      </c>
      <c r="C151" s="172" t="s">
        <v>461</v>
      </c>
      <c r="D151" s="172" t="s">
        <v>462</v>
      </c>
      <c r="E151" s="173"/>
      <c r="F151" s="366"/>
      <c r="G151" s="240"/>
      <c r="H151" s="537"/>
      <c r="I151" s="771">
        <f>SUM(G151:G152)</f>
        <v>0</v>
      </c>
      <c r="J151" s="774">
        <v>0</v>
      </c>
      <c r="K151" s="789"/>
      <c r="L151" s="171">
        <v>12</v>
      </c>
      <c r="M151" s="172" t="s">
        <v>463</v>
      </c>
      <c r="N151" s="172" t="s">
        <v>462</v>
      </c>
      <c r="O151" s="442"/>
      <c r="P151" s="366"/>
      <c r="Q151" s="240">
        <f>G151</f>
        <v>0</v>
      </c>
      <c r="R151" s="656"/>
      <c r="S151" s="493"/>
      <c r="T151" s="421"/>
      <c r="U151" s="406"/>
      <c r="V151" s="382"/>
      <c r="W151" s="462"/>
      <c r="X151" s="771">
        <f>SUM(Q151:Q152)</f>
        <v>0</v>
      </c>
    </row>
    <row r="152" spans="1:24" ht="15" customHeight="1" thickBot="1">
      <c r="B152" s="175">
        <v>12</v>
      </c>
      <c r="C152" s="246" t="s">
        <v>461</v>
      </c>
      <c r="D152" s="246"/>
      <c r="E152" s="247"/>
      <c r="F152" s="368"/>
      <c r="G152" s="176"/>
      <c r="H152" s="540"/>
      <c r="I152" s="773"/>
      <c r="J152" s="776"/>
      <c r="K152" s="790"/>
      <c r="L152" s="175">
        <v>12</v>
      </c>
      <c r="M152" s="246" t="s">
        <v>463</v>
      </c>
      <c r="N152" s="246"/>
      <c r="O152" s="444"/>
      <c r="P152" s="368"/>
      <c r="Q152" s="176"/>
      <c r="R152" s="659"/>
      <c r="S152" s="496"/>
      <c r="T152" s="424" t="str">
        <f t="shared" si="16"/>
        <v/>
      </c>
      <c r="U152" s="408"/>
      <c r="V152" s="381"/>
      <c r="W152" s="465"/>
      <c r="X152" s="773"/>
    </row>
    <row r="153" spans="1:24" ht="14.4" thickBot="1">
      <c r="A153" s="4"/>
      <c r="B153" s="192"/>
      <c r="C153" s="179"/>
      <c r="D153" s="179"/>
      <c r="E153" s="193"/>
      <c r="F153" s="352"/>
      <c r="G153" s="194"/>
      <c r="H153" s="529"/>
      <c r="I153" s="524"/>
      <c r="J153" s="228"/>
      <c r="K153" s="4"/>
      <c r="L153" s="192"/>
      <c r="M153" s="179"/>
      <c r="N153" s="179"/>
      <c r="O153" s="434"/>
      <c r="P153" s="352"/>
      <c r="Q153" s="194"/>
      <c r="R153" s="647"/>
      <c r="S153" s="484"/>
      <c r="T153" s="412" t="str">
        <f t="shared" si="16"/>
        <v/>
      </c>
      <c r="U153" s="401"/>
      <c r="V153" s="383"/>
      <c r="W153" s="454"/>
      <c r="X153" s="524"/>
    </row>
    <row r="154" spans="1:24" ht="15.75" customHeight="1">
      <c r="B154" s="183">
        <v>13</v>
      </c>
      <c r="C154" s="184" t="s">
        <v>464</v>
      </c>
      <c r="D154" s="253" t="s">
        <v>465</v>
      </c>
      <c r="E154" s="185"/>
      <c r="F154" s="334"/>
      <c r="G154" s="186">
        <f>D202</f>
        <v>22271.14</v>
      </c>
      <c r="H154" s="519">
        <f>'Project Plan'!G50</f>
        <v>46001</v>
      </c>
      <c r="I154" s="744">
        <f>SUM(G154:G158)</f>
        <v>22271.14</v>
      </c>
      <c r="J154" s="747">
        <f>F202</f>
        <v>25308</v>
      </c>
      <c r="K154" s="187"/>
      <c r="L154" s="183">
        <v>13</v>
      </c>
      <c r="M154" s="253" t="s">
        <v>466</v>
      </c>
      <c r="N154" s="253" t="s">
        <v>467</v>
      </c>
      <c r="O154" s="430"/>
      <c r="P154" s="334"/>
      <c r="Q154" s="186">
        <f>'Project Plan'!$E$6*1.25%</f>
        <v>32269.137500000001</v>
      </c>
      <c r="R154" s="466"/>
      <c r="S154" s="488"/>
      <c r="T154" s="416">
        <v>46081</v>
      </c>
      <c r="U154" s="402">
        <f t="shared" ref="U154:U159" si="24">(Q154/$X$154*$J$154)</f>
        <v>25308</v>
      </c>
      <c r="V154" s="762">
        <f>J154-SUM(U154:U159)</f>
        <v>0</v>
      </c>
      <c r="W154" s="458">
        <v>46079</v>
      </c>
      <c r="X154" s="744">
        <f>SUM(Q154:Q159)</f>
        <v>32269.137500000001</v>
      </c>
    </row>
    <row r="155" spans="1:24" ht="15.75" customHeight="1">
      <c r="B155" s="213">
        <v>13</v>
      </c>
      <c r="C155" s="215"/>
      <c r="D155" s="215"/>
      <c r="E155" s="216"/>
      <c r="F155" s="355"/>
      <c r="G155" s="217"/>
      <c r="H155" s="518"/>
      <c r="I155" s="745"/>
      <c r="J155" s="748"/>
      <c r="K155" s="190"/>
      <c r="L155" s="213">
        <v>13</v>
      </c>
      <c r="M155" s="288" t="s">
        <v>466</v>
      </c>
      <c r="N155" s="215"/>
      <c r="O155" s="431"/>
      <c r="P155" s="355"/>
      <c r="Q155" s="217"/>
      <c r="R155" s="606"/>
      <c r="S155" s="481"/>
      <c r="T155" s="409"/>
      <c r="U155" s="394">
        <f t="shared" si="24"/>
        <v>0</v>
      </c>
      <c r="V155" s="763"/>
      <c r="W155" s="451"/>
      <c r="X155" s="745"/>
    </row>
    <row r="156" spans="1:24" ht="15.75" customHeight="1">
      <c r="B156" s="213">
        <v>13</v>
      </c>
      <c r="C156" s="215"/>
      <c r="D156" s="215"/>
      <c r="E156" s="216"/>
      <c r="F156" s="355"/>
      <c r="G156" s="217"/>
      <c r="H156" s="518"/>
      <c r="I156" s="745"/>
      <c r="J156" s="748"/>
      <c r="K156" s="190"/>
      <c r="L156" s="213">
        <v>13</v>
      </c>
      <c r="M156" s="288" t="s">
        <v>466</v>
      </c>
      <c r="N156" s="215"/>
      <c r="O156" s="431"/>
      <c r="P156" s="355"/>
      <c r="Q156" s="217"/>
      <c r="R156" s="606"/>
      <c r="S156" s="481"/>
      <c r="T156" s="409"/>
      <c r="U156" s="394">
        <f t="shared" si="24"/>
        <v>0</v>
      </c>
      <c r="V156" s="763"/>
      <c r="W156" s="451"/>
      <c r="X156" s="745"/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45"/>
      <c r="J157" s="748"/>
      <c r="K157" s="190"/>
      <c r="L157" s="213">
        <v>13</v>
      </c>
      <c r="M157" s="288" t="s">
        <v>466</v>
      </c>
      <c r="N157" s="215"/>
      <c r="O157" s="431"/>
      <c r="P157" s="355"/>
      <c r="Q157" s="217"/>
      <c r="R157" s="606"/>
      <c r="S157" s="481"/>
      <c r="T157" s="409"/>
      <c r="U157" s="394">
        <f t="shared" si="24"/>
        <v>0</v>
      </c>
      <c r="V157" s="763"/>
      <c r="W157" s="451"/>
      <c r="X157" s="745"/>
    </row>
    <row r="158" spans="1:24" ht="15.75" customHeight="1">
      <c r="B158" s="213">
        <v>13</v>
      </c>
      <c r="C158" s="215"/>
      <c r="D158" s="215"/>
      <c r="E158" s="216"/>
      <c r="F158" s="355"/>
      <c r="G158" s="217"/>
      <c r="H158" s="518"/>
      <c r="I158" s="745"/>
      <c r="J158" s="748"/>
      <c r="K158" s="190"/>
      <c r="L158" s="213">
        <v>13</v>
      </c>
      <c r="M158" s="288" t="s">
        <v>466</v>
      </c>
      <c r="N158" s="215"/>
      <c r="O158" s="431"/>
      <c r="P158" s="355"/>
      <c r="Q158" s="217"/>
      <c r="R158" s="606"/>
      <c r="S158" s="481"/>
      <c r="T158" s="409"/>
      <c r="U158" s="394">
        <f t="shared" si="24"/>
        <v>0</v>
      </c>
      <c r="V158" s="763"/>
      <c r="W158" s="451"/>
      <c r="X158" s="745"/>
    </row>
    <row r="159" spans="1:24" ht="15.75" customHeight="1" thickBot="1">
      <c r="B159" s="218">
        <v>13</v>
      </c>
      <c r="C159" s="219"/>
      <c r="D159" s="219"/>
      <c r="E159" s="220"/>
      <c r="F159" s="356"/>
      <c r="G159" s="232"/>
      <c r="H159" s="528"/>
      <c r="I159" s="746"/>
      <c r="J159" s="749"/>
      <c r="K159" s="265"/>
      <c r="L159" s="218">
        <v>13</v>
      </c>
      <c r="M159" s="316" t="s">
        <v>466</v>
      </c>
      <c r="N159" s="219"/>
      <c r="O159" s="433"/>
      <c r="P159" s="356"/>
      <c r="Q159" s="232"/>
      <c r="R159" s="646"/>
      <c r="S159" s="483"/>
      <c r="T159" s="411"/>
      <c r="U159" s="396">
        <f t="shared" si="24"/>
        <v>0</v>
      </c>
      <c r="V159" s="764"/>
      <c r="W159" s="453"/>
      <c r="X159" s="746"/>
    </row>
    <row r="160" spans="1:24" ht="14.4" thickBot="1">
      <c r="A160" s="4"/>
      <c r="B160" s="192"/>
      <c r="C160" s="179"/>
      <c r="D160" s="179"/>
      <c r="E160" s="193"/>
      <c r="F160" s="352"/>
      <c r="G160" s="194"/>
      <c r="H160" s="529"/>
      <c r="I160" s="523"/>
      <c r="J160" s="182"/>
      <c r="K160" s="4"/>
      <c r="L160" s="192"/>
      <c r="M160" s="179"/>
      <c r="N160" s="179"/>
      <c r="O160" s="434"/>
      <c r="P160" s="352"/>
      <c r="Q160" s="194"/>
      <c r="R160" s="647"/>
      <c r="S160" s="484"/>
      <c r="T160" s="412" t="str">
        <f t="shared" si="16"/>
        <v/>
      </c>
      <c r="U160" s="401"/>
      <c r="V160" s="383"/>
      <c r="W160" s="454"/>
      <c r="X160" s="524"/>
    </row>
    <row r="161" spans="1:24" ht="14.25" customHeight="1">
      <c r="B161" s="171">
        <v>14</v>
      </c>
      <c r="C161" s="172" t="s">
        <v>468</v>
      </c>
      <c r="D161" s="172" t="s">
        <v>469</v>
      </c>
      <c r="E161" s="173"/>
      <c r="F161" s="366"/>
      <c r="G161" s="240">
        <f>D213</f>
        <v>4375</v>
      </c>
      <c r="H161" s="537">
        <f>'Project Plan'!G50</f>
        <v>46001</v>
      </c>
      <c r="I161" s="771">
        <f>SUM(G161:G172)</f>
        <v>4375</v>
      </c>
      <c r="J161" s="774">
        <f>F213</f>
        <v>4861</v>
      </c>
      <c r="K161" s="241"/>
      <c r="L161" s="171">
        <v>14</v>
      </c>
      <c r="M161" s="331" t="s">
        <v>470</v>
      </c>
      <c r="N161" s="172" t="s">
        <v>471</v>
      </c>
      <c r="O161" s="442"/>
      <c r="P161" s="507"/>
      <c r="Q161" s="510">
        <v>8016.46</v>
      </c>
      <c r="R161" s="660"/>
      <c r="S161" s="498" t="s">
        <v>472</v>
      </c>
      <c r="T161" s="634">
        <v>45961</v>
      </c>
      <c r="U161" s="641">
        <v>1536.8080583803892</v>
      </c>
      <c r="V161" s="780">
        <f>J161-SUM(U161:U172)</f>
        <v>4.7425135498997406E-3</v>
      </c>
      <c r="W161" s="626">
        <v>45967</v>
      </c>
      <c r="X161" s="771">
        <f>SUM(Q161:Q172)</f>
        <v>33994.93</v>
      </c>
    </row>
    <row r="162" spans="1:24" ht="14.25" customHeight="1">
      <c r="B162" s="242">
        <v>14</v>
      </c>
      <c r="C162" s="243"/>
      <c r="D162" s="243"/>
      <c r="E162" s="244"/>
      <c r="F162" s="367"/>
      <c r="G162" s="245"/>
      <c r="H162" s="539"/>
      <c r="I162" s="772"/>
      <c r="J162" s="775"/>
      <c r="K162" s="174"/>
      <c r="L162" s="242">
        <v>14</v>
      </c>
      <c r="M162" s="332" t="s">
        <v>470</v>
      </c>
      <c r="N162" s="243" t="s">
        <v>471</v>
      </c>
      <c r="O162" s="443"/>
      <c r="P162" s="508"/>
      <c r="Q162" s="509">
        <v>10490.93</v>
      </c>
      <c r="R162" s="661"/>
      <c r="S162" s="498" t="s">
        <v>472</v>
      </c>
      <c r="T162" s="631">
        <v>45991</v>
      </c>
      <c r="U162" s="640">
        <v>1455.2804181506942</v>
      </c>
      <c r="V162" s="781"/>
      <c r="W162" s="626">
        <v>45996</v>
      </c>
      <c r="X162" s="772"/>
    </row>
    <row r="163" spans="1:24" ht="14.25" customHeight="1">
      <c r="B163" s="242">
        <v>14</v>
      </c>
      <c r="C163" s="243"/>
      <c r="D163" s="243"/>
      <c r="E163" s="244"/>
      <c r="F163" s="367"/>
      <c r="G163" s="245"/>
      <c r="H163" s="539"/>
      <c r="I163" s="772"/>
      <c r="J163" s="775"/>
      <c r="K163" s="174"/>
      <c r="L163" s="242">
        <v>14</v>
      </c>
      <c r="M163" s="332" t="s">
        <v>470</v>
      </c>
      <c r="N163" s="243" t="s">
        <v>471</v>
      </c>
      <c r="O163" s="443"/>
      <c r="P163" s="367"/>
      <c r="Q163" s="509">
        <v>8655.5400000000009</v>
      </c>
      <c r="R163" s="658"/>
      <c r="S163" s="498" t="s">
        <v>472</v>
      </c>
      <c r="T163" s="631">
        <v>46022</v>
      </c>
      <c r="U163" s="640">
        <v>1016.0260460104794</v>
      </c>
      <c r="V163" s="781"/>
      <c r="W163" s="626">
        <v>46030</v>
      </c>
      <c r="X163" s="772"/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72"/>
      <c r="J164" s="775"/>
      <c r="K164" s="174"/>
      <c r="L164" s="242">
        <v>14</v>
      </c>
      <c r="M164" s="332" t="s">
        <v>470</v>
      </c>
      <c r="N164" s="243" t="s">
        <v>471</v>
      </c>
      <c r="O164" s="443"/>
      <c r="P164" s="367"/>
      <c r="Q164" s="509">
        <v>3332</v>
      </c>
      <c r="R164" s="658"/>
      <c r="S164" s="498" t="s">
        <v>472</v>
      </c>
      <c r="T164" s="631">
        <v>46053</v>
      </c>
      <c r="U164" s="640">
        <v>352.40904696082617</v>
      </c>
      <c r="V164" s="781"/>
      <c r="W164" s="626">
        <v>46058</v>
      </c>
      <c r="X164" s="772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72"/>
      <c r="J165" s="775"/>
      <c r="K165" s="174"/>
      <c r="L165" s="242">
        <v>14</v>
      </c>
      <c r="M165" s="332" t="s">
        <v>470</v>
      </c>
      <c r="N165" s="243" t="s">
        <v>471</v>
      </c>
      <c r="O165" s="443"/>
      <c r="P165" s="367"/>
      <c r="Q165" s="245">
        <v>3500</v>
      </c>
      <c r="R165" s="658"/>
      <c r="S165" s="493"/>
      <c r="T165" s="423">
        <v>46081</v>
      </c>
      <c r="U165" s="407">
        <f t="shared" ref="U165:U172" si="25">(Q165/$X$161*$J$161)</f>
        <v>500.47168798406113</v>
      </c>
      <c r="V165" s="781"/>
      <c r="W165" s="464">
        <v>46086</v>
      </c>
      <c r="X165" s="772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72"/>
      <c r="J166" s="775"/>
      <c r="K166" s="174"/>
      <c r="L166" s="242">
        <v>14</v>
      </c>
      <c r="M166" s="332" t="s">
        <v>470</v>
      </c>
      <c r="N166" s="243" t="s">
        <v>471</v>
      </c>
      <c r="O166" s="443"/>
      <c r="P166" s="367"/>
      <c r="Q166" s="245"/>
      <c r="R166" s="658"/>
      <c r="S166" s="493"/>
      <c r="T166" s="423" t="str">
        <f t="shared" si="16"/>
        <v/>
      </c>
      <c r="U166" s="407">
        <f t="shared" si="25"/>
        <v>0</v>
      </c>
      <c r="V166" s="781"/>
      <c r="W166" s="464"/>
      <c r="X166" s="772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72"/>
      <c r="J167" s="775"/>
      <c r="K167" s="174"/>
      <c r="L167" s="242">
        <v>14</v>
      </c>
      <c r="M167" s="332" t="s">
        <v>470</v>
      </c>
      <c r="N167" s="243" t="s">
        <v>471</v>
      </c>
      <c r="O167" s="443"/>
      <c r="P167" s="367"/>
      <c r="Q167" s="245"/>
      <c r="R167" s="658"/>
      <c r="S167" s="493"/>
      <c r="T167" s="423" t="str">
        <f t="shared" ref="T167:T185" si="26">IF(W167&gt;1,EOMONTH(W167,0),"")</f>
        <v/>
      </c>
      <c r="U167" s="407">
        <f t="shared" si="25"/>
        <v>0</v>
      </c>
      <c r="V167" s="781"/>
      <c r="W167" s="464"/>
      <c r="X167" s="772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72"/>
      <c r="J168" s="775"/>
      <c r="K168" s="174"/>
      <c r="L168" s="242">
        <v>14</v>
      </c>
      <c r="M168" s="332" t="s">
        <v>470</v>
      </c>
      <c r="N168" s="243" t="s">
        <v>471</v>
      </c>
      <c r="O168" s="443"/>
      <c r="P168" s="367"/>
      <c r="Q168" s="245"/>
      <c r="R168" s="658"/>
      <c r="S168" s="493"/>
      <c r="T168" s="423" t="str">
        <f t="shared" si="26"/>
        <v/>
      </c>
      <c r="U168" s="407">
        <f t="shared" si="25"/>
        <v>0</v>
      </c>
      <c r="V168" s="781"/>
      <c r="W168" s="464"/>
      <c r="X168" s="772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72"/>
      <c r="J169" s="775"/>
      <c r="K169" s="174"/>
      <c r="L169" s="242">
        <v>14</v>
      </c>
      <c r="M169" s="332" t="s">
        <v>470</v>
      </c>
      <c r="N169" s="243" t="s">
        <v>471</v>
      </c>
      <c r="O169" s="443"/>
      <c r="P169" s="367"/>
      <c r="Q169" s="245"/>
      <c r="R169" s="658"/>
      <c r="S169" s="493"/>
      <c r="T169" s="423" t="str">
        <f t="shared" si="26"/>
        <v/>
      </c>
      <c r="U169" s="407">
        <f t="shared" si="25"/>
        <v>0</v>
      </c>
      <c r="V169" s="781"/>
      <c r="W169" s="464"/>
      <c r="X169" s="772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72"/>
      <c r="J170" s="775"/>
      <c r="K170" s="174"/>
      <c r="L170" s="242">
        <v>14</v>
      </c>
      <c r="M170" s="332" t="s">
        <v>470</v>
      </c>
      <c r="N170" s="243" t="s">
        <v>471</v>
      </c>
      <c r="O170" s="443"/>
      <c r="P170" s="367"/>
      <c r="Q170" s="245"/>
      <c r="R170" s="658"/>
      <c r="S170" s="493"/>
      <c r="T170" s="423" t="str">
        <f t="shared" si="26"/>
        <v/>
      </c>
      <c r="U170" s="407">
        <f t="shared" si="25"/>
        <v>0</v>
      </c>
      <c r="V170" s="781"/>
      <c r="W170" s="464"/>
      <c r="X170" s="772"/>
    </row>
    <row r="171" spans="1:24" ht="14.25" customHeight="1">
      <c r="B171" s="242">
        <v>14</v>
      </c>
      <c r="C171" s="243"/>
      <c r="D171" s="243"/>
      <c r="E171" s="244"/>
      <c r="F171" s="367"/>
      <c r="G171" s="245"/>
      <c r="H171" s="539"/>
      <c r="I171" s="772"/>
      <c r="J171" s="775"/>
      <c r="K171" s="174"/>
      <c r="L171" s="242">
        <v>14</v>
      </c>
      <c r="M171" s="332" t="s">
        <v>470</v>
      </c>
      <c r="N171" s="243"/>
      <c r="O171" s="443"/>
      <c r="P171" s="367"/>
      <c r="Q171" s="245"/>
      <c r="R171" s="658"/>
      <c r="S171" s="495"/>
      <c r="T171" s="423" t="str">
        <f t="shared" si="26"/>
        <v/>
      </c>
      <c r="U171" s="407">
        <f t="shared" si="25"/>
        <v>0</v>
      </c>
      <c r="V171" s="781"/>
      <c r="W171" s="464"/>
      <c r="X171" s="772"/>
    </row>
    <row r="172" spans="1:24" ht="15" customHeight="1" thickBot="1">
      <c r="B172" s="175">
        <v>14</v>
      </c>
      <c r="C172" s="246"/>
      <c r="D172" s="246"/>
      <c r="E172" s="247"/>
      <c r="F172" s="368"/>
      <c r="G172" s="176"/>
      <c r="H172" s="540"/>
      <c r="I172" s="773"/>
      <c r="J172" s="776"/>
      <c r="K172" s="177"/>
      <c r="L172" s="175">
        <v>14</v>
      </c>
      <c r="M172" s="333" t="s">
        <v>470</v>
      </c>
      <c r="N172" s="246"/>
      <c r="O172" s="444"/>
      <c r="P172" s="368"/>
      <c r="Q172" s="176"/>
      <c r="R172" s="659"/>
      <c r="S172" s="496"/>
      <c r="T172" s="424" t="str">
        <f t="shared" si="26"/>
        <v/>
      </c>
      <c r="U172" s="408">
        <f t="shared" si="25"/>
        <v>0</v>
      </c>
      <c r="V172" s="782"/>
      <c r="W172" s="465"/>
      <c r="X172" s="773"/>
    </row>
    <row r="173" spans="1:24" ht="14.4" thickBot="1">
      <c r="A173" s="4"/>
      <c r="B173" s="192"/>
      <c r="C173" s="179"/>
      <c r="D173" s="179"/>
      <c r="E173" s="193"/>
      <c r="F173" s="352"/>
      <c r="G173" s="194"/>
      <c r="H173" s="529"/>
      <c r="I173" s="525"/>
      <c r="J173" s="248"/>
      <c r="K173" s="4"/>
      <c r="L173" s="192"/>
      <c r="M173" s="179"/>
      <c r="N173" s="179"/>
      <c r="O173" s="434"/>
      <c r="P173" s="352"/>
      <c r="Q173" s="194"/>
      <c r="R173" s="647"/>
      <c r="S173" s="484"/>
      <c r="T173" s="412" t="str">
        <f t="shared" si="26"/>
        <v/>
      </c>
      <c r="U173" s="401"/>
      <c r="V173" s="383"/>
      <c r="W173" s="454"/>
      <c r="X173" s="525"/>
    </row>
    <row r="174" spans="1:24">
      <c r="B174" s="183">
        <v>15</v>
      </c>
      <c r="C174" s="184" t="s">
        <v>473</v>
      </c>
      <c r="D174" s="184"/>
      <c r="E174" s="185"/>
      <c r="F174" s="334"/>
      <c r="G174" s="186"/>
      <c r="H174" s="519"/>
      <c r="I174" s="744">
        <f>SUM(G174:G185)</f>
        <v>0</v>
      </c>
      <c r="J174" s="747">
        <f>F210</f>
        <v>0</v>
      </c>
      <c r="K174" s="187"/>
      <c r="L174" s="183">
        <v>15</v>
      </c>
      <c r="M174" s="253" t="s">
        <v>474</v>
      </c>
      <c r="N174" s="184"/>
      <c r="O174" s="185"/>
      <c r="P174" s="334"/>
      <c r="Q174" s="186"/>
      <c r="R174" s="466"/>
      <c r="S174" s="488"/>
      <c r="T174" s="605"/>
      <c r="U174" s="402"/>
      <c r="V174" s="762">
        <v>0</v>
      </c>
      <c r="W174" s="458"/>
      <c r="X174" s="744">
        <f>SUM(Q174:Q185)</f>
        <v>38023.93</v>
      </c>
    </row>
    <row r="175" spans="1:24">
      <c r="B175" s="213">
        <v>15</v>
      </c>
      <c r="C175" s="215"/>
      <c r="D175" s="215"/>
      <c r="E175" s="216"/>
      <c r="F175" s="355"/>
      <c r="G175" s="217"/>
      <c r="H175" s="518"/>
      <c r="I175" s="745"/>
      <c r="J175" s="748"/>
      <c r="K175" s="190"/>
      <c r="L175" s="213">
        <v>15</v>
      </c>
      <c r="M175" s="288" t="s">
        <v>474</v>
      </c>
      <c r="N175" s="215" t="s">
        <v>475</v>
      </c>
      <c r="O175" s="448">
        <v>23350</v>
      </c>
      <c r="P175" s="449">
        <v>0.8</v>
      </c>
      <c r="Q175" s="217">
        <f>O175*P175</f>
        <v>18680</v>
      </c>
      <c r="R175" s="791" t="s">
        <v>476</v>
      </c>
      <c r="S175" s="481" t="s">
        <v>477</v>
      </c>
      <c r="T175" s="518">
        <v>45991</v>
      </c>
      <c r="U175" s="639">
        <v>23350</v>
      </c>
      <c r="V175" s="763"/>
      <c r="W175" s="624">
        <v>45965</v>
      </c>
      <c r="X175" s="745"/>
    </row>
    <row r="176" spans="1:24">
      <c r="B176" s="213">
        <v>15</v>
      </c>
      <c r="C176" s="215"/>
      <c r="D176" s="215"/>
      <c r="E176" s="216"/>
      <c r="F176" s="355"/>
      <c r="G176" s="217"/>
      <c r="H176" s="518"/>
      <c r="I176" s="745"/>
      <c r="J176" s="748"/>
      <c r="K176" s="190"/>
      <c r="L176" s="213">
        <v>15</v>
      </c>
      <c r="M176" s="288" t="s">
        <v>474</v>
      </c>
      <c r="N176" s="215" t="s">
        <v>478</v>
      </c>
      <c r="O176" s="431"/>
      <c r="P176" s="449">
        <v>0.2</v>
      </c>
      <c r="Q176" s="217">
        <f>O175*P176</f>
        <v>4670</v>
      </c>
      <c r="R176" s="739"/>
      <c r="S176" s="481" t="s">
        <v>477</v>
      </c>
      <c r="T176" s="518">
        <v>45991</v>
      </c>
      <c r="U176" s="639">
        <v>0</v>
      </c>
      <c r="V176" s="763"/>
      <c r="W176" s="689">
        <v>45988</v>
      </c>
      <c r="X176" s="745"/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45"/>
      <c r="J177" s="748"/>
      <c r="K177" s="190"/>
      <c r="L177" s="213">
        <v>15</v>
      </c>
      <c r="M177" s="288" t="s">
        <v>474</v>
      </c>
      <c r="N177" s="215" t="s">
        <v>479</v>
      </c>
      <c r="O177" s="431"/>
      <c r="P177" s="355"/>
      <c r="Q177" s="217">
        <v>5450</v>
      </c>
      <c r="R177" s="606"/>
      <c r="S177" s="481" t="s">
        <v>480</v>
      </c>
      <c r="T177" s="633">
        <v>46022</v>
      </c>
      <c r="U177" s="639">
        <v>2725</v>
      </c>
      <c r="V177" s="763"/>
      <c r="W177" s="624">
        <v>46009</v>
      </c>
      <c r="X177" s="745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45"/>
      <c r="J178" s="748"/>
      <c r="K178" s="190"/>
      <c r="L178" s="213">
        <v>15</v>
      </c>
      <c r="M178" s="288" t="s">
        <v>474</v>
      </c>
      <c r="N178" s="215" t="s">
        <v>481</v>
      </c>
      <c r="O178" s="431"/>
      <c r="P178" s="355"/>
      <c r="Q178" s="217">
        <v>5450</v>
      </c>
      <c r="R178" s="606" t="s">
        <v>482</v>
      </c>
      <c r="S178" s="481"/>
      <c r="T178" s="409">
        <v>46081</v>
      </c>
      <c r="U178" s="394">
        <f>5450/2</f>
        <v>2725</v>
      </c>
      <c r="V178" s="763"/>
      <c r="W178" s="451">
        <v>46065</v>
      </c>
      <c r="X178" s="745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45"/>
      <c r="J179" s="748"/>
      <c r="K179" s="190"/>
      <c r="L179" s="213">
        <v>15</v>
      </c>
      <c r="M179" s="288" t="s">
        <v>474</v>
      </c>
      <c r="N179" s="215" t="s">
        <v>483</v>
      </c>
      <c r="O179" s="431"/>
      <c r="P179" s="355"/>
      <c r="Q179" s="217">
        <v>3500</v>
      </c>
      <c r="R179" s="606" t="s">
        <v>484</v>
      </c>
      <c r="S179" s="481" t="s">
        <v>485</v>
      </c>
      <c r="T179" s="633">
        <v>46022</v>
      </c>
      <c r="U179" s="394">
        <v>0</v>
      </c>
      <c r="V179" s="763"/>
      <c r="W179" s="616">
        <v>46009</v>
      </c>
      <c r="X179" s="745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45"/>
      <c r="J180" s="748"/>
      <c r="K180" s="190"/>
      <c r="L180" s="213">
        <v>15</v>
      </c>
      <c r="M180" s="288" t="s">
        <v>474</v>
      </c>
      <c r="N180" s="215" t="s">
        <v>486</v>
      </c>
      <c r="O180" s="431"/>
      <c r="P180" s="355"/>
      <c r="Q180" s="217">
        <v>273.93</v>
      </c>
      <c r="R180" s="606"/>
      <c r="S180" s="481" t="s">
        <v>487</v>
      </c>
      <c r="T180" s="633">
        <v>46022</v>
      </c>
      <c r="U180" s="394">
        <v>0</v>
      </c>
      <c r="V180" s="763"/>
      <c r="W180" s="616">
        <v>46051</v>
      </c>
      <c r="X180" s="745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45"/>
      <c r="J181" s="748"/>
      <c r="K181" s="190"/>
      <c r="L181" s="213">
        <v>15</v>
      </c>
      <c r="M181" s="288" t="s">
        <v>474</v>
      </c>
      <c r="N181" s="215"/>
      <c r="O181" s="431"/>
      <c r="P181" s="355"/>
      <c r="Q181" s="217"/>
      <c r="R181" s="606"/>
      <c r="S181" s="481"/>
      <c r="T181" s="409"/>
      <c r="U181" s="394"/>
      <c r="V181" s="763"/>
      <c r="W181" s="451"/>
      <c r="X181" s="745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45"/>
      <c r="J182" s="748"/>
      <c r="K182" s="190"/>
      <c r="L182" s="213">
        <v>15</v>
      </c>
      <c r="M182" s="288" t="s">
        <v>474</v>
      </c>
      <c r="N182" s="215"/>
      <c r="O182" s="431"/>
      <c r="P182" s="355"/>
      <c r="Q182" s="217"/>
      <c r="R182" s="606"/>
      <c r="S182" s="481"/>
      <c r="T182" s="409" t="str">
        <f t="shared" si="26"/>
        <v/>
      </c>
      <c r="U182" s="394"/>
      <c r="V182" s="763"/>
      <c r="W182" s="451"/>
      <c r="X182" s="745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45"/>
      <c r="J183" s="748"/>
      <c r="K183" s="190"/>
      <c r="L183" s="213">
        <v>15</v>
      </c>
      <c r="M183" s="288" t="s">
        <v>474</v>
      </c>
      <c r="N183" s="215"/>
      <c r="O183" s="431"/>
      <c r="P183" s="355"/>
      <c r="Q183" s="217"/>
      <c r="R183" s="606"/>
      <c r="S183" s="481"/>
      <c r="T183" s="409" t="str">
        <f t="shared" si="26"/>
        <v/>
      </c>
      <c r="U183" s="394"/>
      <c r="V183" s="763"/>
      <c r="W183" s="451"/>
      <c r="X183" s="745"/>
    </row>
    <row r="184" spans="2:24">
      <c r="B184" s="213">
        <v>15</v>
      </c>
      <c r="C184" s="215"/>
      <c r="D184" s="215"/>
      <c r="E184" s="216"/>
      <c r="F184" s="355"/>
      <c r="G184" s="217"/>
      <c r="H184" s="518"/>
      <c r="I184" s="745"/>
      <c r="J184" s="748"/>
      <c r="K184" s="190"/>
      <c r="L184" s="213">
        <v>15</v>
      </c>
      <c r="M184" s="288" t="s">
        <v>474</v>
      </c>
      <c r="N184" s="215"/>
      <c r="O184" s="431"/>
      <c r="P184" s="355"/>
      <c r="Q184" s="217"/>
      <c r="R184" s="606"/>
      <c r="S184" s="481"/>
      <c r="T184" s="409" t="str">
        <f t="shared" si="26"/>
        <v/>
      </c>
      <c r="U184" s="394"/>
      <c r="V184" s="763"/>
      <c r="W184" s="451"/>
      <c r="X184" s="745"/>
    </row>
    <row r="185" spans="2:24" ht="15" customHeight="1" thickBot="1">
      <c r="B185" s="218">
        <v>15</v>
      </c>
      <c r="C185" s="219"/>
      <c r="D185" s="219"/>
      <c r="E185" s="220"/>
      <c r="F185" s="356"/>
      <c r="G185" s="232"/>
      <c r="H185" s="528"/>
      <c r="I185" s="746"/>
      <c r="J185" s="749"/>
      <c r="K185" s="191"/>
      <c r="L185" s="218">
        <v>15</v>
      </c>
      <c r="M185" s="316" t="s">
        <v>474</v>
      </c>
      <c r="N185" s="219"/>
      <c r="O185" s="433"/>
      <c r="P185" s="356"/>
      <c r="Q185" s="232"/>
      <c r="R185" s="646"/>
      <c r="S185" s="483"/>
      <c r="T185" s="411" t="str">
        <f t="shared" si="26"/>
        <v/>
      </c>
      <c r="U185" s="396"/>
      <c r="V185" s="764"/>
      <c r="W185" s="453"/>
      <c r="X185" s="746"/>
    </row>
    <row r="186" spans="2:24" s="1" customFormat="1">
      <c r="B186" s="25"/>
      <c r="E186" s="2"/>
      <c r="F186" s="369"/>
      <c r="G186" s="3"/>
      <c r="H186" s="3"/>
      <c r="I186" s="249"/>
      <c r="J186" s="249"/>
      <c r="L186" s="25"/>
      <c r="O186" s="2"/>
      <c r="P186" s="369"/>
      <c r="Q186" s="250"/>
      <c r="R186" s="250"/>
      <c r="S186" s="250"/>
      <c r="T186" s="250"/>
      <c r="U186" s="250"/>
      <c r="V186" s="250"/>
      <c r="W186" s="250"/>
      <c r="X186" s="250"/>
    </row>
    <row r="187" spans="2:24">
      <c r="B187" s="26"/>
      <c r="C187" s="429" t="s">
        <v>488</v>
      </c>
      <c r="D187" s="598">
        <v>561360.21</v>
      </c>
      <c r="E187" s="76"/>
      <c r="F187" s="600">
        <v>637909</v>
      </c>
      <c r="G187" s="26"/>
      <c r="H187" s="26"/>
      <c r="I187" s="26"/>
      <c r="J187" s="26"/>
    </row>
    <row r="188" spans="2:24">
      <c r="B188" s="26"/>
      <c r="C188" s="429" t="s">
        <v>489</v>
      </c>
      <c r="D188" s="598">
        <v>247000</v>
      </c>
      <c r="E188" s="76"/>
      <c r="F188" s="600">
        <v>280682</v>
      </c>
      <c r="G188" s="26"/>
      <c r="H188" s="26"/>
      <c r="I188" s="158"/>
      <c r="J188" s="158"/>
    </row>
    <row r="189" spans="2:24">
      <c r="B189" s="26"/>
      <c r="C189" s="429" t="s">
        <v>490</v>
      </c>
      <c r="D189" s="598">
        <v>100040</v>
      </c>
      <c r="E189" s="76"/>
      <c r="F189" s="600">
        <v>113682</v>
      </c>
      <c r="G189" s="26"/>
      <c r="H189" s="26"/>
      <c r="I189" s="251"/>
      <c r="J189" s="251"/>
    </row>
    <row r="190" spans="2:24">
      <c r="B190" s="26"/>
      <c r="C190" s="429" t="s">
        <v>341</v>
      </c>
      <c r="D190" s="598">
        <v>161926</v>
      </c>
      <c r="E190" s="76"/>
      <c r="F190" s="600">
        <v>184007</v>
      </c>
      <c r="G190" s="26"/>
      <c r="H190" s="26"/>
      <c r="I190" s="158"/>
      <c r="J190" s="158"/>
    </row>
    <row r="191" spans="2:24">
      <c r="B191" s="26"/>
      <c r="C191" s="429" t="s">
        <v>390</v>
      </c>
      <c r="D191" s="598">
        <v>278660.59999999998</v>
      </c>
      <c r="E191" s="76"/>
      <c r="F191" s="600">
        <v>316660</v>
      </c>
      <c r="G191" s="26"/>
      <c r="H191" s="26"/>
      <c r="I191" s="251"/>
      <c r="J191" s="251"/>
    </row>
    <row r="192" spans="2:24">
      <c r="B192" s="26"/>
      <c r="C192" s="429" t="s">
        <v>377</v>
      </c>
      <c r="D192" s="598">
        <v>148000</v>
      </c>
      <c r="E192" s="76"/>
      <c r="F192" s="600">
        <v>168182</v>
      </c>
      <c r="G192" s="26"/>
      <c r="H192" s="26"/>
      <c r="I192" s="158"/>
      <c r="J192" s="158"/>
    </row>
    <row r="193" spans="2:23">
      <c r="B193" s="26"/>
      <c r="C193" s="429" t="s">
        <v>491</v>
      </c>
      <c r="D193" s="598">
        <v>97500</v>
      </c>
      <c r="E193" s="76"/>
      <c r="F193" s="600">
        <v>110795</v>
      </c>
      <c r="G193" s="26"/>
      <c r="H193" s="26"/>
      <c r="I193" s="158"/>
      <c r="J193" s="158"/>
    </row>
    <row r="194" spans="2:23">
      <c r="B194" s="26"/>
      <c r="C194" s="429" t="s">
        <v>492</v>
      </c>
      <c r="E194" s="76"/>
      <c r="F194" s="429"/>
      <c r="G194" s="26"/>
      <c r="H194" s="26"/>
      <c r="I194" s="158"/>
      <c r="J194" s="158"/>
    </row>
    <row r="195" spans="2:23">
      <c r="B195" s="26"/>
      <c r="C195" s="429" t="s">
        <v>493</v>
      </c>
      <c r="D195" s="598">
        <v>372333.45</v>
      </c>
      <c r="E195" s="76"/>
      <c r="F195" s="600">
        <v>423106</v>
      </c>
      <c r="G195" s="26"/>
      <c r="H195" s="26"/>
      <c r="I195" s="158"/>
      <c r="J195" s="158"/>
    </row>
    <row r="196" spans="2:23">
      <c r="B196" s="26"/>
      <c r="C196" s="429" t="s">
        <v>494</v>
      </c>
      <c r="E196" s="76"/>
      <c r="F196" s="429"/>
      <c r="G196" s="26"/>
      <c r="H196" s="26"/>
      <c r="I196" s="158"/>
      <c r="J196" s="158"/>
    </row>
    <row r="197" spans="2:23">
      <c r="B197" s="26"/>
      <c r="C197" s="429" t="s">
        <v>495</v>
      </c>
      <c r="E197" s="76"/>
      <c r="F197" s="429"/>
      <c r="G197" s="26"/>
      <c r="H197" s="26"/>
      <c r="I197" s="158"/>
      <c r="J197" s="158"/>
    </row>
    <row r="198" spans="2:23">
      <c r="B198" s="26"/>
      <c r="C198" s="429" t="s">
        <v>496</v>
      </c>
      <c r="E198" s="76"/>
      <c r="F198" s="429"/>
      <c r="G198" s="26"/>
      <c r="H198" s="26"/>
      <c r="I198" s="158"/>
      <c r="J198" s="158"/>
    </row>
    <row r="199" spans="2:23">
      <c r="B199" s="26"/>
      <c r="C199" s="429"/>
      <c r="E199" s="76"/>
      <c r="F199" s="429"/>
      <c r="G199" s="26"/>
      <c r="H199" s="26"/>
      <c r="I199" s="158"/>
      <c r="J199" s="158"/>
    </row>
    <row r="200" spans="2:23" s="26" customFormat="1">
      <c r="C200" s="429" t="s">
        <v>497</v>
      </c>
      <c r="D200" s="599">
        <v>62525</v>
      </c>
      <c r="E200" s="76"/>
      <c r="F200" s="600">
        <v>69472</v>
      </c>
      <c r="I200" s="158"/>
      <c r="J200" s="158"/>
      <c r="R200" s="76"/>
      <c r="T200" s="429"/>
      <c r="U200" s="429"/>
      <c r="W200" s="429"/>
    </row>
    <row r="201" spans="2:23" s="26" customFormat="1">
      <c r="C201" s="429" t="s">
        <v>498</v>
      </c>
      <c r="D201" s="599">
        <v>136325</v>
      </c>
      <c r="E201" s="76"/>
      <c r="F201" s="600">
        <v>151472</v>
      </c>
      <c r="I201" s="158"/>
      <c r="J201" s="158"/>
      <c r="R201" s="76"/>
      <c r="T201" s="429"/>
      <c r="U201" s="429"/>
      <c r="W201" s="429"/>
    </row>
    <row r="202" spans="2:23" s="26" customFormat="1">
      <c r="C202" s="429" t="s">
        <v>499</v>
      </c>
      <c r="D202" s="599">
        <v>22271.14</v>
      </c>
      <c r="E202" s="76"/>
      <c r="F202" s="600">
        <v>25308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500</v>
      </c>
      <c r="D203" s="599">
        <v>29000</v>
      </c>
      <c r="E203" s="76"/>
      <c r="F203" s="600">
        <v>32222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501</v>
      </c>
      <c r="D204" s="599">
        <v>8500</v>
      </c>
      <c r="E204" s="76"/>
      <c r="F204" s="600">
        <v>9444</v>
      </c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502</v>
      </c>
      <c r="E205" s="76"/>
      <c r="F205" s="429"/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503</v>
      </c>
      <c r="D206" s="599">
        <v>1027.78</v>
      </c>
      <c r="E206" s="76"/>
      <c r="F206" s="600">
        <v>1142</v>
      </c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504</v>
      </c>
      <c r="D207" s="599">
        <v>30000</v>
      </c>
      <c r="E207" s="76"/>
      <c r="F207" s="600">
        <v>33333</v>
      </c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505</v>
      </c>
      <c r="D208" s="599">
        <v>17326.669999999998</v>
      </c>
      <c r="E208" s="76"/>
      <c r="F208" s="600">
        <v>19252</v>
      </c>
      <c r="I208" s="158"/>
      <c r="J208" s="158"/>
      <c r="R208" s="76"/>
      <c r="T208" s="429"/>
      <c r="U208" s="429"/>
      <c r="W208" s="429"/>
    </row>
    <row r="209" spans="3:23" s="26" customFormat="1">
      <c r="C209" s="429" t="s">
        <v>506</v>
      </c>
      <c r="E209" s="76"/>
      <c r="F209" s="429"/>
      <c r="I209" s="158"/>
      <c r="J209" s="158"/>
      <c r="R209" s="76"/>
      <c r="T209" s="429"/>
      <c r="U209" s="429"/>
      <c r="W209" s="429"/>
    </row>
    <row r="210" spans="3:23" s="26" customFormat="1">
      <c r="C210" s="429" t="s">
        <v>493</v>
      </c>
      <c r="E210" s="76"/>
      <c r="F210" s="429"/>
      <c r="I210" s="158"/>
      <c r="J210" s="158"/>
      <c r="R210" s="76"/>
      <c r="T210" s="429"/>
      <c r="U210" s="429"/>
      <c r="W210" s="429"/>
    </row>
    <row r="211" spans="3:23" s="26" customFormat="1">
      <c r="C211" s="429"/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 t="s">
        <v>507</v>
      </c>
      <c r="E212" s="76"/>
      <c r="F212" s="429"/>
      <c r="I212" s="158"/>
      <c r="J212" s="158"/>
      <c r="R212" s="76"/>
      <c r="T212" s="429"/>
      <c r="U212" s="429"/>
      <c r="W212" s="429"/>
    </row>
    <row r="213" spans="3:23" s="26" customFormat="1">
      <c r="C213" s="429" t="s">
        <v>508</v>
      </c>
      <c r="D213" s="599">
        <v>4375</v>
      </c>
      <c r="E213" s="76"/>
      <c r="F213" s="600">
        <v>4861</v>
      </c>
      <c r="I213" s="158"/>
      <c r="J213" s="158"/>
      <c r="R213" s="76"/>
      <c r="T213" s="429"/>
      <c r="U213" s="429"/>
      <c r="W213" s="429"/>
    </row>
    <row r="214" spans="3:23" s="26" customFormat="1">
      <c r="C214" s="429"/>
      <c r="D214" s="429"/>
      <c r="E214" s="76"/>
      <c r="F214" s="360"/>
      <c r="I214" s="158"/>
      <c r="J214" s="158"/>
      <c r="R214" s="76"/>
      <c r="T214" s="429"/>
      <c r="U214" s="429"/>
      <c r="W214" s="429"/>
    </row>
    <row r="215" spans="3:23" s="26" customFormat="1">
      <c r="C215" s="429"/>
      <c r="D215" s="429"/>
      <c r="E215" s="76"/>
      <c r="F215" s="360"/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C233" s="429"/>
      <c r="D233" s="429"/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  <row r="545" spans="5:23" s="26" customFormat="1">
      <c r="E545" s="76"/>
      <c r="F545" s="360"/>
      <c r="I545" s="158"/>
      <c r="J545" s="158"/>
      <c r="R545" s="76"/>
      <c r="T545" s="429"/>
      <c r="U545" s="429"/>
      <c r="W545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R105:R106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R175:R176"/>
    <mergeCell ref="R115:R122"/>
    <mergeCell ref="X143:X149"/>
    <mergeCell ref="I151:I152"/>
    <mergeCell ref="J151:J152"/>
    <mergeCell ref="K151:K152"/>
    <mergeCell ref="X151:X152"/>
    <mergeCell ref="V143:V149"/>
    <mergeCell ref="I143:I149"/>
    <mergeCell ref="J143:J149"/>
    <mergeCell ref="R147:R148"/>
    <mergeCell ref="X71:X78"/>
    <mergeCell ref="I21:I26"/>
    <mergeCell ref="J21:J26"/>
    <mergeCell ref="I127:I141"/>
    <mergeCell ref="J127:J141"/>
    <mergeCell ref="X127:X141"/>
    <mergeCell ref="I80:I112"/>
    <mergeCell ref="J80:J112"/>
    <mergeCell ref="X80:X112"/>
    <mergeCell ref="I114:I125"/>
    <mergeCell ref="J114:J125"/>
    <mergeCell ref="X114:X125"/>
    <mergeCell ref="V127:V141"/>
    <mergeCell ref="V80:V112"/>
    <mergeCell ref="V114:V125"/>
    <mergeCell ref="R131:R138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AD32:AD33"/>
    <mergeCell ref="R21:R22"/>
    <mergeCell ref="B2:G2"/>
    <mergeCell ref="L2:Q2"/>
    <mergeCell ref="I6:I11"/>
    <mergeCell ref="J6:J11"/>
    <mergeCell ref="R2:W2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4"/>
  <cols>
    <col min="1" max="1" width="34" bestFit="1" customWidth="1"/>
    <col min="2" max="2" width="13.5546875" bestFit="1" customWidth="1"/>
    <col min="3" max="3" width="10.88671875" bestFit="1" customWidth="1"/>
  </cols>
  <sheetData>
    <row r="1" spans="1:3">
      <c r="A1" s="667" t="s">
        <v>509</v>
      </c>
      <c r="B1" s="667" t="s">
        <v>510</v>
      </c>
    </row>
    <row r="2" spans="1:3">
      <c r="A2" s="7" t="s">
        <v>511</v>
      </c>
      <c r="B2" s="671">
        <v>159713.96125781251</v>
      </c>
    </row>
    <row r="3" spans="1:3" ht="15" thickBot="1">
      <c r="A3" s="7" t="s">
        <v>512</v>
      </c>
      <c r="B3" s="672">
        <v>23510</v>
      </c>
    </row>
    <row r="4" spans="1:3">
      <c r="A4" s="7" t="s">
        <v>513</v>
      </c>
      <c r="B4" s="671">
        <v>304738.28000000003</v>
      </c>
    </row>
    <row r="5" spans="1:3" ht="15" thickBot="1">
      <c r="A5" s="680" t="s">
        <v>514</v>
      </c>
      <c r="B5" s="672">
        <v>113035</v>
      </c>
    </row>
    <row r="6" spans="1:3">
      <c r="A6" s="678" t="s">
        <v>515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516</v>
      </c>
      <c r="B8" s="671"/>
    </row>
    <row r="9" spans="1:3">
      <c r="A9" s="673" t="s">
        <v>517</v>
      </c>
      <c r="B9" s="674">
        <v>97500</v>
      </c>
    </row>
    <row r="10" spans="1:3">
      <c r="A10" s="673" t="s">
        <v>518</v>
      </c>
      <c r="B10" s="674">
        <v>14000</v>
      </c>
    </row>
    <row r="11" spans="1:3">
      <c r="A11" s="673" t="s">
        <v>519</v>
      </c>
      <c r="B11" s="674">
        <v>60000</v>
      </c>
    </row>
    <row r="12" spans="1:3" ht="15" thickBot="1">
      <c r="A12" s="681" t="s">
        <v>520</v>
      </c>
      <c r="B12" s="675">
        <v>22000</v>
      </c>
    </row>
    <row r="13" spans="1:3">
      <c r="A13" s="677" t="s">
        <v>521</v>
      </c>
      <c r="B13" s="682">
        <f>SUM(B9:B12)</f>
        <v>193500</v>
      </c>
    </row>
    <row r="14" spans="1:3" ht="15" thickBot="1">
      <c r="A14" s="677"/>
    </row>
    <row r="15" spans="1:3" ht="15" thickBot="1">
      <c r="A15" t="s">
        <v>522</v>
      </c>
      <c r="B15" s="668">
        <f>B6-B13</f>
        <v>407497.24125781259</v>
      </c>
      <c r="C15" s="676"/>
    </row>
    <row r="16" spans="1:3" ht="15" thickBot="1">
      <c r="A16" t="s">
        <v>523</v>
      </c>
      <c r="B16" s="670">
        <f>B15*15%</f>
        <v>61124.586188671885</v>
      </c>
    </row>
    <row r="17" spans="1:2">
      <c r="A17" t="s">
        <v>278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8" activePane="bottomRight" state="frozen"/>
      <selection pane="topRight" activeCell="F28" sqref="F28"/>
      <selection pane="bottomLeft" activeCell="F28" sqref="F28"/>
      <selection pane="bottomRight" activeCell="F28" sqref="F28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0"/>
  </cols>
  <sheetData>
    <row r="1" spans="1:770">
      <c r="D1" s="96" t="s">
        <v>524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793" t="s">
        <v>525</v>
      </c>
      <c r="B2" s="101"/>
      <c r="C2" s="102" t="s">
        <v>303</v>
      </c>
      <c r="D2" s="102" t="s">
        <v>303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94"/>
      <c r="B3" s="104" t="s">
        <v>232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794"/>
      <c r="B4" s="104" t="s">
        <v>526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794"/>
      <c r="B5" s="108" t="s">
        <v>233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Breakdown'!$G$6:$G$193, 'Expenditure Breakdown'!$H$6:$H$193, "&gt;="&amp;F1,'Expenditure Breakdown'!$H$6:$H$193, "&lt;"&amp;G1)</f>
        <v>0</v>
      </c>
      <c r="G5" s="110">
        <f>SUMIFS('Expenditure Breakdown'!$G$6:$G$193, 'Expenditure Breakdown'!$H$6:$H$193, "&gt;="&amp;G1,'Expenditure Breakdown'!$H$6:$H$193, "&lt;"&amp;H1)</f>
        <v>0</v>
      </c>
      <c r="H5" s="110">
        <f>SUMIFS('Expenditure Breakdown'!$G$6:$G$193, 'Expenditure Breakdown'!$H$6:$H$193, "&gt;="&amp;H1,'Expenditure Breakdown'!$H$6:$H$193, "&lt;"&amp;I1)</f>
        <v>0</v>
      </c>
      <c r="I5" s="110">
        <f>SUMIFS('Expenditure Breakdown'!$G$6:$G$193, 'Expenditure Breakdown'!$H$6:$H$193, "&gt;="&amp;I1,'Expenditure Breakdown'!$H$6:$H$193, "&lt;"&amp;J1)</f>
        <v>0</v>
      </c>
      <c r="J5" s="110">
        <f>SUMIFS('Expenditure Breakdown'!$G$6:$G$193, 'Expenditure Breakdown'!$H$6:$H$193, "&gt;="&amp;J1,'Expenditure Breakdown'!$H$6:$H$193, "&lt;"&amp;K1)</f>
        <v>0</v>
      </c>
      <c r="K5" s="110">
        <f>SUMIFS('Expenditure Breakdown'!$G$6:$G$193, 'Expenditure Breakdown'!$H$6:$H$193, "&gt;="&amp;K1,'Expenditure Breakdown'!$H$6:$H$193, "&lt;"&amp;L1)</f>
        <v>0</v>
      </c>
      <c r="L5" s="110">
        <f>SUMIFS('Expenditure Breakdown'!$G$6:$G$193, 'Expenditure Breakdown'!$H$6:$H$193, "&gt;="&amp;L1,'Expenditure Breakdown'!$H$6:$H$193, "&lt;"&amp;M1)</f>
        <v>0</v>
      </c>
      <c r="M5" s="110">
        <f>SUMIFS('Expenditure Breakdown'!$G$6:$G$193, 'Expenditure Breakdown'!$H$6:$H$193, "&gt;="&amp;M1,'Expenditure Breakdown'!$H$6:$H$193, "&lt;"&amp;N1)</f>
        <v>0</v>
      </c>
      <c r="N5" s="110">
        <f>SUMIFS('Expenditure Breakdown'!$G$6:$G$193, 'Expenditure Breakdown'!$H$6:$H$193, "&gt;="&amp;N1,'Expenditure Breakdown'!$H$6:$H$193, "&lt;"&amp;O1)</f>
        <v>0</v>
      </c>
      <c r="O5" s="110">
        <f>SUMIFS('Expenditure Breakdown'!$G$6:$G$193, 'Expenditure Breakdown'!$H$6:$H$193, "&gt;="&amp;O1,'Expenditure Breakdown'!$H$6:$H$193, "&lt;"&amp;P1)</f>
        <v>0</v>
      </c>
      <c r="P5" s="110">
        <f>SUMIFS('Expenditure Breakdown'!$G$6:$G$193, 'Expenditure Breakdown'!$H$6:$H$193, "&gt;="&amp;P1,'Expenditure Breakdown'!$H$6:$H$193, "&lt;"&amp;Q1)</f>
        <v>0</v>
      </c>
      <c r="Q5" s="110">
        <f>SUMIFS('Expenditure Breakdown'!$G$6:$G$193, 'Expenditure Breakdown'!$H$6:$H$193, "&gt;="&amp;Q1,'Expenditure Breakdown'!$H$6:$H$193, "&lt;"&amp;R1)</f>
        <v>0</v>
      </c>
      <c r="R5" s="110">
        <f>SUMIFS('Expenditure Breakdown'!$G$6:$G$193, 'Expenditure Breakdown'!$H$6:$H$193, "&gt;="&amp;R1,'Expenditure Breakdown'!$H$6:$H$193, "&lt;"&amp;S1)</f>
        <v>792658.9</v>
      </c>
      <c r="S5" s="110">
        <f>SUMIFS('Expenditure Breakdown'!$G$6:$G$193, 'Expenditure Breakdown'!$H$6:$H$193, "&gt;="&amp;S1,'Expenditure Breakdown'!$H$6:$H$193, "&lt;"&amp;T1)</f>
        <v>165325</v>
      </c>
      <c r="T5" s="110">
        <f>SUMIFS('Expenditure Breakdown'!$G$6:$G$193, 'Expenditure Breakdown'!$H$6:$H$193, "&gt;="&amp;T1,'Expenditure Breakdown'!$H$6:$H$193, "&lt;"&amp;U1)</f>
        <v>305306.74</v>
      </c>
      <c r="U5" s="110">
        <f>SUMIFS('Expenditure Breakdown'!$G$6:$G$193, 'Expenditure Breakdown'!$H$6:$H$193, "&gt;="&amp;U1,'Expenditure Breakdown'!$H$6:$H$193, "&lt;"&amp;V1)</f>
        <v>0</v>
      </c>
      <c r="V5" s="110">
        <f>SUMIFS('Expenditure Breakdown'!$G$6:$G$193, 'Expenditure Breakdown'!$H$6:$H$193, "&gt;="&amp;V1,'Expenditure Breakdown'!$H$6:$H$193, "&lt;"&amp;W1)</f>
        <v>453520</v>
      </c>
      <c r="W5" s="110">
        <f>SUMIFS('Expenditure Breakdown'!$G$6:$G$193, 'Expenditure Breakdown'!$H$6:$H$193, "&gt;="&amp;W1,'Expenditure Breakdown'!$H$6:$H$193, "&lt;"&amp;X1)</f>
        <v>0</v>
      </c>
      <c r="X5" s="110">
        <f>SUMIFS('Expenditure Breakdown'!$G$6:$G$193, 'Expenditure Breakdown'!$H$6:$H$193, "&gt;="&amp;X1,'Expenditure Breakdown'!$H$6:$H$193, "&lt;"&amp;Y1)</f>
        <v>0</v>
      </c>
      <c r="Y5" s="110">
        <f>SUMIFS('Expenditure Breakdown'!$G$6:$G$193, 'Expenditure Breakdown'!$H$6:$H$193, "&gt;="&amp;Y1,'Expenditure Breakdown'!$H$6:$H$193, "&lt;"&amp;Z1)</f>
        <v>561360.21</v>
      </c>
      <c r="Z5" s="110">
        <f>SUMIFS('Expenditure Breakdown'!$G$6:$G$193, 'Expenditure Breakdown'!$H$6:$H$193, "&gt;="&amp;Z1,'Expenditure Breakdown'!$H$6:$H$193, "&lt;"&amp;AA1)</f>
        <v>0</v>
      </c>
      <c r="AA5" s="110">
        <f>SUMIFS('Expenditure Breakdown'!$G$6:$G$193, 'Expenditure Breakdown'!$H$6:$H$193, "&gt;="&amp;AA1,'Expenditure Breakdown'!$H$6:$H$193, "&lt;"&amp;AB1)</f>
        <v>0</v>
      </c>
      <c r="AB5" s="110">
        <f>SUMIFS('Expenditure Breakdown'!$G$6:$G$193, 'Expenditure Breakdown'!$H$6:$H$193, "&gt;="&amp;AB1,'Expenditure Breakdown'!$H$6:$H$193, "&lt;"&amp;AC1)</f>
        <v>0</v>
      </c>
      <c r="AC5" s="110">
        <f>SUMIFS('Expenditure Breakdown'!$G$6:$G$193, 'Expenditure Breakdown'!$H$6:$H$193, "&gt;="&amp;AC1,'Expenditure Breakdown'!$H$6:$H$193, "&lt;"&amp;AD1)</f>
        <v>0</v>
      </c>
      <c r="AD5" s="110">
        <f>SUMIFS('Expenditure Breakdown'!$G$6:$G$193, 'Expenditure Breakdown'!$H$6:$H$193, "&gt;="&amp;AD1,'Expenditure Breakdown'!$H$6:$H$193, "&lt;"&amp;AE1)</f>
        <v>0</v>
      </c>
      <c r="AE5" s="110">
        <f>SUMIFS('Expenditure Breakdown'!$G$6:$G$193, 'Expenditure Breakdown'!$H$6:$H$193, "&gt;="&amp;AE1,'Expenditure Breakdown'!$H$6:$H$193, "&lt;"&amp;AF1)</f>
        <v>0</v>
      </c>
      <c r="AF5" s="110">
        <f>SUMIFS('Expenditure Breakdown'!$G$6:$G$193, 'Expenditure Breakdown'!$H$6:$H$193, "&gt;="&amp;AF1,'Expenditure Breakdown'!$H$6:$H$193, "&lt;"&amp;AG1)</f>
        <v>0</v>
      </c>
      <c r="AG5" s="110">
        <f>SUMIFS('Expenditure Breakdown'!$G$6:$G$193, 'Expenditure Breakdown'!$H$6:$H$193, "&gt;="&amp;AG1,'Expenditure Breakdown'!$H$6:$H$193, "&lt;"&amp;AH1)</f>
        <v>0</v>
      </c>
      <c r="AH5" s="110">
        <f>SUMIFS('Expenditure Breakdown'!$G$6:$G$193, 'Expenditure Breakdown'!$H$6:$H$193, "&gt;="&amp;AH1,'Expenditure Breakdown'!$H$6:$H$193, "&lt;"&amp;AI1)</f>
        <v>0</v>
      </c>
      <c r="AI5" s="110">
        <f>SUMIFS('Expenditure Breakdown'!$G$6:$G$193, 'Expenditure Breakdown'!$H$6:$H$193, "&gt;="&amp;AI1,'Expenditure Breakdown'!$H$6:$H$193, "&lt;"&amp;AJ1)</f>
        <v>0</v>
      </c>
      <c r="AJ5" s="110">
        <f>SUMIFS('Expenditure Breakdown'!$G$6:$G$193, 'Expenditure Breakdown'!$H$6:$H$193, "&gt;="&amp;AJ1,'Expenditure Breakdown'!$H$6:$H$193, "&lt;"&amp;AK1)</f>
        <v>0</v>
      </c>
      <c r="AK5" s="110">
        <f>SUMIFS('Expenditure Breakdown'!$G$6:$G$193, 'Expenditure Breakdown'!$H$6:$H$193, "&gt;="&amp;AK1,'Expenditure Breakdown'!$H$6:$H$193, "&lt;"&amp;AL1)</f>
        <v>0</v>
      </c>
      <c r="AL5" s="110">
        <f>SUMIFS('Expenditure Breakdown'!$G$6:$G$193, 'Expenditure Breakdown'!$H$6:$H$193, "&gt;="&amp;AL1,'Expenditure Breakdown'!$H$6:$H$193, "&lt;"&amp;AM1)</f>
        <v>0</v>
      </c>
      <c r="AM5" s="110">
        <f>SUMIFS('Expenditure Breakdown'!$G$6:$G$193, 'Expenditure Breakdown'!$H$6:$H$193, "&gt;="&amp;AM1,'Expenditure Breakdown'!$H$6:$H$193, "&lt;"&amp;AN1)</f>
        <v>0</v>
      </c>
      <c r="AN5" s="110">
        <f>SUMIFS('Expenditure Breakdown'!$G$6:$G$193, 'Expenditure Breakdown'!$H$6:$H$193, "&gt;="&amp;AN1,'Expenditure Breakdown'!$H$6:$H$193, "&lt;"&amp;AO1)</f>
        <v>0</v>
      </c>
      <c r="AO5" s="110">
        <f>SUMIFS('Expenditure Breakdown'!$G$6:$G$193, 'Expenditure Breakdown'!$H$6:$H$193, "&gt;="&amp;AO1,'Expenditure Breakdown'!$H$6:$H$193, "&lt;"&amp;AP1)</f>
        <v>0</v>
      </c>
      <c r="AP5" s="110">
        <f>SUMIFS('Expenditure Breakdown'!$G$6:$G$193, 'Expenditure Breakdown'!$H$6:$H$193, "&gt;="&amp;AP1,'Expenditure Breakdown'!$H$6:$H$193, "&lt;"&amp;AQ1)</f>
        <v>0</v>
      </c>
      <c r="AQ5" s="110">
        <f>SUMIFS('Expenditure Breakdown'!$G$6:$G$193, 'Expenditure Breakdown'!$H$6:$H$193, "&gt;="&amp;AQ1,'Expenditure Breakdown'!$H$6:$H$193, "&lt;"&amp;AR1)</f>
        <v>0</v>
      </c>
      <c r="AR5" s="110">
        <f>SUMIFS('Expenditure Breakdown'!$G$6:$G$193, 'Expenditure Breakdown'!$H$6:$H$193, "&gt;="&amp;AR1,'Expenditure Breakdown'!$H$6:$H$193, "&lt;"&amp;AS1)</f>
        <v>0</v>
      </c>
      <c r="AS5" s="110">
        <f>SUMIFS('Expenditure Breakdown'!$G$6:$G$193, 'Expenditure Breakdown'!$H$6:$H$193, "&gt;="&amp;AS1,'Expenditure Breakdown'!$H$6:$H$193, "&lt;"&amp;AT1)</f>
        <v>0</v>
      </c>
      <c r="AT5" s="110">
        <f>SUMIFS('Expenditure Breakdown'!$G$6:$G$193, 'Expenditure Breakdown'!$H$6:$H$193, "&gt;="&amp;AT1,'Expenditure Breakdown'!$H$6:$H$193, "&lt;"&amp;AU1)</f>
        <v>0</v>
      </c>
      <c r="AU5" s="110">
        <f>SUMIFS('Expenditure Breakdown'!$G$6:$G$193, 'Expenditure Breakdown'!$H$6:$H$193, "&gt;="&amp;AU1,'Expenditure Breakdown'!$H$6:$H$193, "&lt;"&amp;AV1)</f>
        <v>0</v>
      </c>
      <c r="AV5" s="110">
        <f>SUMIFS('Expenditure Breakdown'!$G$6:$G$193, 'Expenditure Breakdown'!$H$6:$H$193, "&gt;="&amp;AV1,'Expenditure Breakdown'!$H$6:$H$193, "&lt;"&amp;AW1)</f>
        <v>0</v>
      </c>
      <c r="AW5" s="110">
        <f>SUMIFS('Expenditure Breakdown'!$G$6:$G$193, 'Expenditure Breakdown'!$H$6:$H$193, "&gt;="&amp;AW1,'Expenditure Breakdown'!$H$6:$H$193, "&lt;"&amp;AX1)</f>
        <v>0</v>
      </c>
      <c r="AX5" s="110">
        <f>SUMIFS('Expenditure Breakdown'!$G$6:$G$193, 'Expenditure Breakdown'!$H$6:$H$193, "&gt;="&amp;AX1,'Expenditure Breakdown'!$H$6:$H$193, "&lt;"&amp;AY1)</f>
        <v>0</v>
      </c>
      <c r="AY5" s="110">
        <f>SUMIFS('Expenditure Breakdown'!$G$6:$G$193, 'Expenditure Breakdown'!$H$6:$H$193, "&gt;="&amp;AY1,'Expenditure Breakdown'!$H$6:$H$193, "&lt;"&amp;AZ1)</f>
        <v>0</v>
      </c>
      <c r="AZ5" s="110">
        <f>SUMIFS('Expenditure Breakdown'!$G$6:$G$193, 'Expenditure Breakdown'!$H$6:$H$193, "&gt;="&amp;AZ1,'Expenditure Breakdown'!$H$6:$H$193, "&lt;"&amp;BA1)</f>
        <v>0</v>
      </c>
      <c r="BA5" s="110">
        <f>SUMIFS('Expenditure Breakdown'!$G$6:$G$193, 'Expenditure Breakdown'!$H$6:$H$193, "&gt;="&amp;BA1,'Expenditure Breakdown'!$H$6:$H$193, "&lt;"&amp;BB1)</f>
        <v>0</v>
      </c>
      <c r="BB5" s="110">
        <f>SUMIFS('Expenditure Breakdown'!$G$6:$G$193, 'Expenditure Breakdown'!$H$6:$H$193, "&gt;="&amp;BB1,'Expenditure Breakdown'!$H$6:$H$193, "&lt;"&amp;BC1)</f>
        <v>0</v>
      </c>
      <c r="BC5" s="110">
        <f>SUMIFS('Expenditure Breakdown'!$G$6:$G$193, 'Expenditure Breakdown'!$H$6:$H$193, "&gt;="&amp;BC1,'Expenditure Breakdown'!$H$6:$H$193, "&lt;"&amp;BD1)</f>
        <v>0</v>
      </c>
      <c r="BD5" s="110">
        <f>SUMIFS('Expenditure Breakdown'!$G$6:$G$193, 'Expenditure Breakdown'!$H$6:$H$193, "&gt;="&amp;BD1,'Expenditure Breakdown'!$H$6:$H$193, "&lt;"&amp;BE1)</f>
        <v>0</v>
      </c>
      <c r="BE5" s="110">
        <f>SUMIFS('Expenditure Breakdown'!$G$6:$G$193, 'Expenditure Breakdown'!$H$6:$H$193, "&gt;="&amp;BE1,'Expenditure Breakdown'!$H$6:$H$193, "&lt;"&amp;BF1)</f>
        <v>0</v>
      </c>
      <c r="BF5" s="110">
        <f>SUMIFS('Expenditure Breakdown'!$G$6:$G$193, 'Expenditure Breakdown'!$H$6:$H$193, "&gt;="&amp;BF1,'Expenditure Breakdown'!$H$6:$H$193, "&lt;"&amp;BG1)</f>
        <v>0</v>
      </c>
      <c r="BG5" s="110">
        <f>SUMIFS('Expenditure Breakdown'!$G$6:$G$193, 'Expenditure Breakdown'!$H$6:$H$193, "&gt;="&amp;BG1,'Expenditure Breakdown'!$H$6:$H$193, "&lt;"&amp;BH1)</f>
        <v>0</v>
      </c>
      <c r="BH5" s="110">
        <f>SUMIFS('Expenditure Breakdown'!$G$6:$G$193, 'Expenditure Breakdown'!$H$6:$H$193, "&gt;="&amp;BH1,'Expenditure Breakdown'!$H$6:$H$193, "&lt;"&amp;BI1)</f>
        <v>0</v>
      </c>
      <c r="BI5" s="110">
        <f>SUMIFS('Expenditure Breakdown'!$G$6:$G$193, 'Expenditure Breakdown'!$H$6:$H$193, "&gt;="&amp;BI1,'Expenditure Breakdown'!$H$6:$H$193, "&lt;"&amp;BJ1)</f>
        <v>0</v>
      </c>
      <c r="BJ5" s="110">
        <f>SUMIFS('Expenditure Breakdown'!$G$6:$G$193, 'Expenditure Breakdown'!$H$6:$H$193, "&gt;="&amp;BJ1,'Expenditure Breakdown'!$H$6:$H$193, "&lt;"&amp;BK1)</f>
        <v>0</v>
      </c>
      <c r="BK5" s="110">
        <f>SUMIFS('Expenditure Breakdown'!$G$6:$G$193, 'Expenditure Breakdown'!$H$6:$H$193, "&gt;="&amp;BK1,'Expenditure Breakdown'!$H$6:$H$193, "&lt;"&amp;BL1)</f>
        <v>0</v>
      </c>
      <c r="BL5" s="110">
        <f>SUMIFS('Expenditure Breakdown'!$G$6:$G$193, 'Expenditure Breakdown'!$H$6:$H$193, "&gt;="&amp;BL1,'Expenditure Breakdown'!$H$6:$H$193, "&lt;"&amp;BM1)</f>
        <v>0</v>
      </c>
      <c r="BM5" s="110">
        <f>SUMIFS('Expenditure Breakdown'!$G$6:$G$193, 'Expenditure Breakdown'!$H$6:$H$193, "&gt;="&amp;BM1,'Expenditure Breakdown'!$H$6:$H$193, "&lt;"&amp;BN1)</f>
        <v>0</v>
      </c>
      <c r="BN5" s="110">
        <f>SUMIFS('Expenditure Breakdown'!$G$6:$G$193, 'Expenditure Breakdown'!$H$6:$H$193, "&gt;="&amp;BN1,'Expenditure Breakdown'!$H$6:$H$193, "&lt;"&amp;BO1)</f>
        <v>0</v>
      </c>
      <c r="BO5" s="110">
        <f>SUMIFS('Expenditure Breakdown'!$G$6:$G$193, 'Expenditure Breakdown'!$H$6:$H$193, "&gt;="&amp;BO1,'Expenditure Breakdown'!$H$6:$H$193, "&lt;"&amp;BP1)</f>
        <v>0</v>
      </c>
      <c r="BP5" s="110">
        <f>SUMIFS('Expenditure Breakdown'!$G$6:$G$193, 'Expenditure Breakdown'!$H$6:$H$193, "&gt;="&amp;BP1,'Expenditure Breakdown'!$H$6:$H$193, "&lt;"&amp;BQ1)</f>
        <v>0</v>
      </c>
      <c r="BQ5" s="110">
        <f>SUMIFS('Expenditure Breakdown'!$G$6:$G$193, 'Expenditure Breakdown'!$H$6:$H$193, "&gt;="&amp;BQ1,'Expenditure Breakdown'!$H$6:$H$193, "&lt;"&amp;BR1)</f>
        <v>0</v>
      </c>
      <c r="BR5" s="110">
        <f>SUMIFS('Expenditure Breakdown'!$G$6:$G$193, 'Expenditure Breakdown'!$H$6:$H$193, "&gt;="&amp;BR1,'Expenditure Breakdown'!$H$6:$H$193, "&lt;"&amp;BS1)</f>
        <v>0</v>
      </c>
      <c r="BS5" s="110">
        <f>SUMIFS('Expenditure Breakdown'!$G$6:$G$193, 'Expenditure Breakdown'!$H$6:$H$193, "&gt;="&amp;BS1,'Expenditure Breakdown'!$H$6:$H$193, "&lt;"&amp;BT1)</f>
        <v>0</v>
      </c>
      <c r="BT5" s="110">
        <f>SUMIFS('Expenditure Breakdown'!$G$6:$G$193, 'Expenditure Breakdown'!$H$6:$H$193, "&gt;="&amp;BT1,'Expenditure Breakdown'!$H$6:$H$193, "&lt;"&amp;BU1)</f>
        <v>0</v>
      </c>
      <c r="BU5" s="110">
        <f>SUMIFS('Expenditure Breakdown'!$G$6:$G$193, 'Expenditure Breakdown'!$H$6:$H$193, "&gt;="&amp;BU1,'Expenditure Breakdown'!$H$6:$H$193, "&lt;"&amp;BV1)</f>
        <v>0</v>
      </c>
      <c r="BV5" s="110">
        <f>SUMIFS('Expenditure Breakdown'!$G$6:$G$193, 'Expenditure Breakdown'!$H$6:$H$193, "&gt;="&amp;BV1,'Expenditure Breakdown'!$H$6:$H$193, "&lt;"&amp;BW1)</f>
        <v>0</v>
      </c>
      <c r="BW5" s="110">
        <f>SUMIFS('Expenditure Breakdown'!$G$6:$G$193, 'Expenditure Breakdown'!$H$6:$H$193, "&gt;="&amp;BW1,'Expenditure Breakdown'!$H$6:$H$193, "&lt;"&amp;BX1)</f>
        <v>0</v>
      </c>
      <c r="BX5" s="110">
        <f>SUMIFS('Expenditure Breakdown'!$G$6:$G$193, 'Expenditure Breakdown'!$H$6:$H$193, "&gt;="&amp;BX1,'Expenditure Breakdown'!$H$6:$H$193, "&lt;"&amp;BY1)</f>
        <v>0</v>
      </c>
      <c r="BY5" s="110">
        <f>SUMIFS('Expenditure Breakdown'!$G$6:$G$193, 'Expenditure Breakdown'!$H$6:$H$193, "&gt;="&amp;BY1,'Expenditure Breakdown'!$H$6:$H$193, "&lt;"&amp;BZ1)</f>
        <v>0</v>
      </c>
      <c r="BZ5" s="110">
        <f>SUMIFS('Expenditure Breakdown'!$G$6:$G$193, 'Expenditure Breakdown'!$H$6:$H$193, "&gt;="&amp;BZ1,'Expenditure Breakdown'!$H$6:$H$193, "&lt;"&amp;CA1)</f>
        <v>0</v>
      </c>
      <c r="CA5" s="110">
        <f>SUMIFS('Expenditure Breakdown'!$G$6:$G$193, 'Expenditure Breakdown'!$H$6:$H$193, "&gt;="&amp;CA1,'Expenditure Breakdown'!$H$6:$H$193, "&lt;"&amp;CB1)</f>
        <v>0</v>
      </c>
      <c r="CB5" s="110">
        <f>SUMIFS('Expenditure Breakdown'!$G$6:$G$193, 'Expenditure Breakdown'!$H$6:$H$193, "&gt;="&amp;CB1,'Expenditure Breakdown'!$H$6:$H$193, "&lt;"&amp;CC1)</f>
        <v>0</v>
      </c>
      <c r="CC5" s="110">
        <f>SUMIFS('Expenditure Breakdown'!$G$6:$G$193, 'Expenditure Breakdown'!$H$6:$H$193, "&gt;="&amp;CC1,'Expenditure Breakdown'!$H$6:$H$193, "&lt;"&amp;CD1)</f>
        <v>0</v>
      </c>
      <c r="CD5" s="110">
        <f>SUMIFS('Expenditure Breakdown'!$G$6:$G$193, 'Expenditure Breakdown'!$H$6:$H$193, "&gt;="&amp;CD1,'Expenditure Breakdown'!$H$6:$H$193, "&lt;"&amp;CE1)</f>
        <v>0</v>
      </c>
      <c r="CE5" s="110">
        <f>SUMIFS('Expenditure Breakdown'!$G$6:$G$193, 'Expenditure Breakdown'!$H$6:$H$193, "&gt;="&amp;CE1,'Expenditure Breakdown'!$H$6:$H$193, "&lt;"&amp;CF1)</f>
        <v>0</v>
      </c>
      <c r="CF5" s="110">
        <f>SUMIFS('Expenditure Breakdown'!$G$6:$G$193, 'Expenditure Breakdown'!$H$6:$H$193, "&gt;="&amp;CF1,'Expenditure Breakdown'!$H$6:$H$193, "&lt;"&amp;CG1)</f>
        <v>0</v>
      </c>
      <c r="CG5" s="110">
        <f>SUMIFS('Expenditure Breakdown'!$G$6:$G$193, 'Expenditure Breakdown'!$H$6:$H$193, "&gt;="&amp;CG1,'Expenditure Breakdown'!$H$6:$H$193, "&lt;"&amp;CH1)</f>
        <v>0</v>
      </c>
      <c r="CH5" s="110">
        <f>SUMIFS('Expenditure Breakdown'!$G$6:$G$193, 'Expenditure Breakdown'!$H$6:$H$193, "&gt;="&amp;CH1,'Expenditure Breakdown'!$H$6:$H$193, "&lt;"&amp;CI1)</f>
        <v>0</v>
      </c>
      <c r="CI5" s="110">
        <f>SUMIFS('Expenditure Breakdown'!$G$6:$G$193, 'Expenditure Breakdown'!$H$6:$H$193, "&gt;="&amp;CI1,'Expenditure Breakdown'!$H$6:$H$193, "&lt;"&amp;CJ1)</f>
        <v>0</v>
      </c>
      <c r="CJ5" s="110">
        <f>SUMIFS('Expenditure Breakdown'!$G$6:$G$193, 'Expenditure Breakdown'!$H$6:$H$193, "&gt;="&amp;CJ1,'Expenditure Breakdown'!$H$6:$H$193, "&lt;"&amp;CK1)</f>
        <v>0</v>
      </c>
      <c r="CK5" s="110">
        <f>SUMIFS('Expenditure Breakdown'!$G$6:$G$193, 'Expenditure Breakdown'!$H$6:$H$193, "&gt;="&amp;CK1,'Expenditure Breakdown'!$H$6:$H$193, "&lt;"&amp;CL1)</f>
        <v>0</v>
      </c>
      <c r="CL5" s="110">
        <f>SUMIFS('Expenditure Breakdown'!$G$6:$G$193, 'Expenditure Breakdown'!$H$6:$H$193, "&gt;="&amp;CL1,'Expenditure Breakdown'!$H$6:$H$193, "&lt;"&amp;CM1)</f>
        <v>0</v>
      </c>
      <c r="CM5" s="110">
        <f>SUMIFS('Expenditure Breakdown'!$G$6:$G$193, 'Expenditure Breakdown'!$H$6:$H$193, "&gt;="&amp;CM1,'Expenditure Breakdown'!$H$6:$H$193, "&lt;"&amp;CN1)</f>
        <v>0</v>
      </c>
      <c r="CN5" s="110">
        <f>SUMIFS('Expenditure Breakdown'!$G$6:$G$193, 'Expenditure Breakdown'!$H$6:$H$193, "&gt;="&amp;CN1,'Expenditure Breakdown'!$H$6:$H$193, "&lt;"&amp;CO1)</f>
        <v>0</v>
      </c>
      <c r="CO5" s="110">
        <f>SUMIFS('Expenditure Breakdown'!$G$6:$G$193, 'Expenditure Breakdown'!$H$6:$H$193, "&gt;="&amp;CO1,'Expenditure Breakdown'!$H$6:$H$193, "&lt;"&amp;CP1)</f>
        <v>0</v>
      </c>
      <c r="CP5" s="110">
        <f>SUMIFS('Expenditure Breakdown'!$G$6:$G$193, 'Expenditure Breakdown'!$H$6:$H$193, "&gt;="&amp;CP1,'Expenditure Breakdown'!$H$6:$H$193, "&lt;"&amp;CQ1)</f>
        <v>0</v>
      </c>
      <c r="CQ5" s="110">
        <f>SUMIFS('Expenditure Breakdown'!$G$6:$G$193, 'Expenditure Breakdown'!$H$6:$H$193, "&gt;="&amp;CQ1,'Expenditure Breakdown'!$H$6:$H$193, "&lt;"&amp;CR1)</f>
        <v>0</v>
      </c>
      <c r="CR5" s="110">
        <f>SUMIFS('Expenditure Breakdown'!$G$6:$G$193, 'Expenditure Breakdown'!$H$6:$H$193, "&gt;="&amp;CR1,'Expenditure Breakdown'!$H$6:$H$193, "&lt;"&amp;CS1)</f>
        <v>0</v>
      </c>
      <c r="CS5" s="110">
        <f>SUMIFS('Expenditure Breakdown'!$G$6:$G$193, 'Expenditure Breakdown'!$H$6:$H$193, "&gt;="&amp;CS1,'Expenditure Breakdown'!$H$6:$H$193, "&lt;"&amp;CT1)</f>
        <v>0</v>
      </c>
      <c r="CT5" s="110">
        <f>SUMIFS('Expenditure Breakdown'!$G$6:$G$193, 'Expenditure Breakdown'!$H$6:$H$193, "&gt;="&amp;CT1,'Expenditure Breakdown'!$H$6:$H$193, "&lt;"&amp;CU1)</f>
        <v>0</v>
      </c>
      <c r="CU5" s="110">
        <f>SUMIFS('Expenditure Breakdown'!$G$6:$G$193, 'Expenditure Breakdown'!$H$6:$H$193, "&gt;="&amp;CU1,'Expenditure Breakdown'!$H$6:$H$193, "&lt;"&amp;CV1)</f>
        <v>0</v>
      </c>
      <c r="CV5" s="110">
        <f>SUMIFS('Expenditure Breakdown'!$G$6:$G$193, 'Expenditure Breakdown'!$H$6:$H$193, "&gt;="&amp;CV1,'Expenditure Breakdown'!$H$6:$H$193, "&lt;"&amp;CW1)</f>
        <v>0</v>
      </c>
      <c r="CW5" s="110">
        <f>SUMIFS('Expenditure Breakdown'!$G$6:$G$193, 'Expenditure Breakdown'!$H$6:$H$193, "&gt;="&amp;CW1,'Expenditure Breakdown'!$H$6:$H$193, "&lt;"&amp;CX1)</f>
        <v>0</v>
      </c>
      <c r="CX5" s="110">
        <f>SUMIFS('Expenditure Breakdown'!$G$6:$G$193, 'Expenditure Breakdown'!$H$6:$H$193, "&gt;="&amp;CX1,'Expenditure Breakdown'!$H$6:$H$193, "&lt;"&amp;CY1)</f>
        <v>0</v>
      </c>
      <c r="CY5" s="110">
        <f>SUMIFS('Expenditure Breakdown'!$G$6:$G$193, 'Expenditure Breakdown'!$H$6:$H$193, "&gt;="&amp;CY1,'Expenditure Breakdown'!$H$6:$H$193, "&lt;"&amp;CZ1)</f>
        <v>0</v>
      </c>
      <c r="CZ5" s="110">
        <f>SUMIFS('Expenditure Breakdown'!$G$6:$G$193, 'Expenditure Breakdown'!$H$6:$H$193, "&gt;="&amp;CZ1,'Expenditure Breakdown'!$H$6:$H$193, "&lt;"&amp;DA1)</f>
        <v>0</v>
      </c>
      <c r="DA5" s="110">
        <f>SUMIFS('Expenditure Breakdown'!$G$6:$G$193, 'Expenditure Breakdown'!$H$6:$H$193, "&gt;="&amp;DA1,'Expenditure Breakdown'!$H$6:$H$193, "&lt;"&amp;DB1)</f>
        <v>0</v>
      </c>
      <c r="DB5" s="110">
        <f>SUMIFS('Expenditure Breakdown'!$G$6:$G$193, 'Expenditure Breakdown'!$H$6:$H$193, "&gt;="&amp;DB1,'Expenditure Breakdown'!$H$6:$H$193, "&lt;"&amp;DC1)</f>
        <v>0</v>
      </c>
      <c r="DC5" s="110">
        <f>SUMIFS('Expenditure Breakdown'!$G$6:$G$193, 'Expenditure Breakdown'!$H$6:$H$193, "&gt;="&amp;DC1,'Expenditure Breakdown'!$H$6:$H$193, "&lt;"&amp;DD1)</f>
        <v>0</v>
      </c>
      <c r="DD5" s="110">
        <f>SUMIFS('Expenditure Breakdown'!$G$6:$G$193, 'Expenditure Breakdown'!$H$6:$H$193, "&gt;="&amp;DD1,'Expenditure Breakdown'!$H$6:$H$193, "&lt;"&amp;DE1)</f>
        <v>0</v>
      </c>
      <c r="DE5" s="110">
        <f>SUMIFS('Expenditure Breakdown'!$G$6:$G$193, 'Expenditure Breakdown'!$H$6:$H$193, "&gt;="&amp;DE1,'Expenditure Breakdown'!$H$6:$H$193, "&lt;"&amp;DF1)</f>
        <v>0</v>
      </c>
      <c r="DF5" s="110">
        <f>SUMIFS('Expenditure Breakdown'!$G$6:$G$193, 'Expenditure Breakdown'!$H$6:$H$193, "&gt;="&amp;DF1,'Expenditure Breakdown'!$H$6:$H$193, "&lt;"&amp;DG1)</f>
        <v>0</v>
      </c>
      <c r="DG5" s="110">
        <f>SUMIFS('Expenditure Breakdown'!$G$6:$G$193, 'Expenditure Breakdown'!$H$6:$H$193, "&gt;="&amp;DG1,'Expenditure Breakdown'!$H$6:$H$193, "&lt;"&amp;DH1)</f>
        <v>0</v>
      </c>
      <c r="DH5" s="110">
        <f>SUMIFS('Expenditure Breakdown'!$G$6:$G$193, 'Expenditure Breakdown'!$H$6:$H$193, "&gt;="&amp;DH1,'Expenditure Breakdown'!$H$6:$H$193, "&lt;"&amp;DI1)</f>
        <v>0</v>
      </c>
      <c r="DI5" s="110">
        <f>SUMIFS('Expenditure Breakdown'!$G$6:$G$193, 'Expenditure Breakdown'!$H$6:$H$193, "&gt;="&amp;DI1,'Expenditure Breakdown'!$H$6:$H$193, "&lt;"&amp;DJ1)</f>
        <v>0</v>
      </c>
      <c r="DJ5" s="110">
        <f>SUMIFS('Expenditure Breakdown'!$G$6:$G$193, 'Expenditure Breakdown'!$H$6:$H$193, "&gt;="&amp;DJ1,'Expenditure Breakdown'!$H$6:$H$193, "&lt;"&amp;DK1)</f>
        <v>0</v>
      </c>
      <c r="DK5" s="110">
        <f>SUMIFS('Expenditure Breakdown'!$G$6:$G$193, 'Expenditure Breakdown'!$H$6:$H$193, "&gt;="&amp;DK1,'Expenditure Breakdown'!$H$6:$H$193, "&lt;"&amp;DL1)</f>
        <v>0</v>
      </c>
      <c r="DL5" s="110">
        <f>SUMIFS('Expenditure Breakdown'!$G$6:$G$193, 'Expenditure Breakdown'!$H$6:$H$193, "&gt;="&amp;DL1,'Expenditure Breakdown'!$H$6:$H$193, "&lt;"&amp;DM1)</f>
        <v>0</v>
      </c>
      <c r="DM5" s="110">
        <f>SUMIFS('Expenditure Breakdown'!$G$6:$G$193, 'Expenditure Breakdown'!$H$6:$H$193, "&gt;="&amp;DM1,'Expenditure Breakdown'!$H$6:$H$193, "&lt;"&amp;DN1)</f>
        <v>0</v>
      </c>
      <c r="DN5" s="110">
        <f>SUMIFS('Expenditure Breakdown'!$G$6:$G$193, 'Expenditure Breakdown'!$H$6:$H$193, "&gt;="&amp;DN1,'Expenditure Breakdown'!$H$6:$H$193, "&lt;"&amp;DO1)</f>
        <v>0</v>
      </c>
      <c r="DO5" s="110">
        <f>SUMIFS('Expenditure Breakdown'!$G$6:$G$193, 'Expenditure Breakdown'!$H$6:$H$193, "&gt;="&amp;DO1,'Expenditure Breakdown'!$H$6:$H$193, "&lt;"&amp;DP1)</f>
        <v>0</v>
      </c>
      <c r="DP5" s="110">
        <f>SUMIFS('Expenditure Breakdown'!$G$6:$G$193, 'Expenditure Breakdown'!$H$6:$H$193, "&gt;="&amp;DP1,'Expenditure Breakdown'!$H$6:$H$193, "&lt;"&amp;DQ1)</f>
        <v>0</v>
      </c>
      <c r="DQ5" s="110">
        <f>SUMIFS('Expenditure Breakdown'!$G$6:$G$193, 'Expenditure Breakdown'!$H$6:$H$193, "&gt;="&amp;DQ1,'Expenditure Breakdown'!$H$6:$H$193, "&lt;"&amp;DR1)</f>
        <v>0</v>
      </c>
      <c r="DR5" s="110">
        <f>SUMIFS('Expenditure Breakdown'!$G$6:$G$193, 'Expenditure Breakdown'!$H$6:$H$193, "&gt;="&amp;DR1,'Expenditure Breakdown'!$H$6:$H$193, "&lt;"&amp;DS1)</f>
        <v>0</v>
      </c>
      <c r="DS5" s="110">
        <f>SUMIFS('Expenditure Breakdown'!$G$6:$G$193, 'Expenditure Breakdown'!$H$6:$H$193, "&gt;="&amp;DS1,'Expenditure Breakdown'!$H$6:$H$193, "&lt;"&amp;DT1)</f>
        <v>0</v>
      </c>
      <c r="DT5" s="110">
        <f>SUMIFS('Expenditure Breakdown'!$G$6:$G$193, 'Expenditure Breakdown'!$H$6:$H$193, "&gt;="&amp;DT1,'Expenditure Breakdown'!$H$6:$H$193, "&lt;"&amp;DU1)</f>
        <v>0</v>
      </c>
      <c r="DU5" s="110">
        <f>SUMIFS('Expenditure Breakdown'!$G$6:$G$193, 'Expenditure Breakdown'!$H$6:$H$193, "&gt;="&amp;DU1,'Expenditure Breakdown'!$H$6:$H$193, "&lt;"&amp;DV1)</f>
        <v>0</v>
      </c>
      <c r="DV5" s="110">
        <f>SUMIFS('Expenditure Breakdown'!$G$6:$G$193, 'Expenditure Breakdown'!$H$6:$H$193, "&gt;="&amp;DV1,'Expenditure Breakdown'!$H$6:$H$193, "&lt;"&amp;DW1)</f>
        <v>0</v>
      </c>
      <c r="DW5" s="110">
        <f>SUMIFS('Expenditure Breakdown'!$G$6:$G$193, 'Expenditure Breakdown'!$H$6:$H$193, "&gt;="&amp;DW1,'Expenditure Breakdown'!$H$6:$H$193, "&lt;"&amp;DX1)</f>
        <v>0</v>
      </c>
      <c r="DX5" s="110">
        <f>SUMIFS('Expenditure Breakdown'!$G$6:$G$193, 'Expenditure Breakdown'!$H$6:$H$193, "&gt;="&amp;DX1,'Expenditure Breakdown'!$H$6:$H$193, "&lt;"&amp;DY1)</f>
        <v>0</v>
      </c>
      <c r="DY5" s="110">
        <f>SUMIFS('Expenditure Breakdown'!$G$6:$G$193, 'Expenditure Breakdown'!$H$6:$H$193, "&gt;="&amp;DY1,'Expenditure Breakdown'!$H$6:$H$193, "&lt;"&amp;DZ1)</f>
        <v>0</v>
      </c>
      <c r="DZ5" s="110">
        <f>SUMIFS('Expenditure Breakdown'!$G$6:$G$193, 'Expenditure Breakdown'!$H$6:$H$193, "&gt;="&amp;DZ1,'Expenditure Breakdown'!$H$6:$H$193, "&lt;"&amp;EA1)</f>
        <v>0</v>
      </c>
      <c r="EA5" s="110">
        <f>SUMIFS('Expenditure Breakdown'!$G$6:$G$193, 'Expenditure Breakdown'!$H$6:$H$193, "&gt;="&amp;EA1,'Expenditure Breakdown'!$H$6:$H$193, "&lt;"&amp;EB1)</f>
        <v>0</v>
      </c>
      <c r="EB5" s="110">
        <f>SUMIFS('Expenditure Breakdown'!$G$6:$G$193, 'Expenditure Breakdown'!$H$6:$H$193, "&gt;="&amp;EB1,'Expenditure Breakdown'!$H$6:$H$193, "&lt;"&amp;EC1)</f>
        <v>0</v>
      </c>
      <c r="EC5" s="110">
        <f>SUMIFS('Expenditure Breakdown'!$G$6:$G$193, 'Expenditure Breakdown'!$H$6:$H$193, "&gt;="&amp;EC1,'Expenditure Breakdown'!$H$6:$H$193, "&lt;"&amp;ED1)</f>
        <v>0</v>
      </c>
      <c r="ED5" s="110">
        <f>SUMIFS('Expenditure Breakdown'!$G$6:$G$193, 'Expenditure Breakdown'!$H$6:$H$193, "&gt;="&amp;ED1,'Expenditure Breakdown'!$H$6:$H$193, "&lt;"&amp;EE1)</f>
        <v>0</v>
      </c>
      <c r="EE5" s="110">
        <f>SUMIFS('Expenditure Breakdown'!$G$6:$G$193, 'Expenditure Breakdown'!$H$6:$H$193, "&gt;="&amp;EE1,'Expenditure Breakdown'!$H$6:$H$193, "&lt;"&amp;EF1)</f>
        <v>0</v>
      </c>
      <c r="EF5" s="110">
        <f>SUMIFS('Expenditure Breakdown'!$G$6:$G$193, 'Expenditure Breakdown'!$H$6:$H$193, "&gt;="&amp;EF1,'Expenditure Breakdown'!$H$6:$H$193, "&lt;"&amp;EG1)</f>
        <v>0</v>
      </c>
      <c r="EG5" s="110">
        <f>SUMIFS('Expenditure Breakdown'!$G$6:$G$193, 'Expenditure Breakdown'!$H$6:$H$193, "&gt;="&amp;EG1,'Expenditure Breakdown'!$H$6:$H$193, "&lt;"&amp;EH1)</f>
        <v>0</v>
      </c>
      <c r="EH5" s="110">
        <f>SUMIFS('Expenditure Breakdown'!$G$6:$G$193, 'Expenditure Breakdown'!$H$6:$H$193, "&gt;="&amp;EH1,'Expenditure Breakdown'!$H$6:$H$193, "&lt;"&amp;EI1)</f>
        <v>0</v>
      </c>
      <c r="EI5" s="110">
        <f>SUMIFS('Expenditure Breakdown'!$G$6:$G$193, 'Expenditure Breakdown'!$H$6:$H$193, "&gt;="&amp;EI1,'Expenditure Breakdown'!$H$6:$H$193, "&lt;"&amp;EJ1)</f>
        <v>0</v>
      </c>
      <c r="EJ5" s="110">
        <f>SUMIFS('Expenditure Breakdown'!$G$6:$G$193, 'Expenditure Breakdown'!$H$6:$H$193, "&gt;="&amp;EJ1,'Expenditure Breakdown'!$H$6:$H$193, "&lt;"&amp;EK1)</f>
        <v>0</v>
      </c>
      <c r="EK5" s="110">
        <f>SUMIFS('Expenditure Breakdown'!$G$6:$G$193, 'Expenditure Breakdown'!$H$6:$H$193, "&gt;="&amp;EK1,'Expenditure Breakdown'!$H$6:$H$193, "&lt;"&amp;EL1)</f>
        <v>0</v>
      </c>
      <c r="EL5" s="110">
        <f>SUMIFS('Expenditure Breakdown'!$G$6:$G$193, 'Expenditure Breakdown'!$H$6:$H$193, "&gt;="&amp;EL1,'Expenditure Breakdown'!$H$6:$H$193, "&lt;"&amp;EM1)</f>
        <v>0</v>
      </c>
      <c r="EM5" s="110">
        <f>SUMIFS('Expenditure Breakdown'!$G$6:$G$193, 'Expenditure Breakdown'!$H$6:$H$193, "&gt;="&amp;EM1,'Expenditure Breakdown'!$H$6:$H$193, "&lt;"&amp;EN1)</f>
        <v>0</v>
      </c>
      <c r="EN5" s="110">
        <f>SUMIFS('Expenditure Breakdown'!$G$6:$G$193, 'Expenditure Breakdown'!$H$6:$H$193, "&gt;="&amp;EN1,'Expenditure Breakdown'!$H$6:$H$193, "&lt;"&amp;EO1)</f>
        <v>0</v>
      </c>
      <c r="EO5" s="110">
        <f>SUMIFS('Expenditure Breakdown'!$G$6:$G$193, 'Expenditure Breakdown'!$H$6:$H$193, "&gt;="&amp;EO1,'Expenditure Breakdown'!$H$6:$H$193, "&lt;"&amp;EP1)</f>
        <v>0</v>
      </c>
      <c r="EP5" s="110">
        <f>SUMIFS('Expenditure Breakdown'!$G$6:$G$193, 'Expenditure Breakdown'!$H$6:$H$193, "&gt;="&amp;EP1,'Expenditure Breakdown'!$H$6:$H$193, "&lt;"&amp;EQ1)</f>
        <v>0</v>
      </c>
      <c r="EQ5" s="110">
        <f>SUMIFS('Expenditure Breakdown'!$G$6:$G$193, 'Expenditure Breakdown'!$H$6:$H$193, "&gt;="&amp;EQ1,'Expenditure Breakdown'!$H$6:$H$193, "&lt;"&amp;ER1)</f>
        <v>0</v>
      </c>
      <c r="ER5" s="110">
        <f>SUMIFS('Expenditure Breakdown'!$G$6:$G$193, 'Expenditure Breakdown'!$H$6:$H$193, "&gt;="&amp;ER1,'Expenditure Breakdown'!$H$6:$H$193, "&lt;"&amp;ES1)</f>
        <v>0</v>
      </c>
      <c r="ES5" s="110">
        <f>SUMIFS('Expenditure Breakdown'!$G$6:$G$193, 'Expenditure Breakdown'!$H$6:$H$193, "&gt;="&amp;ES1,'Expenditure Breakdown'!$H$6:$H$193, "&lt;"&amp;ET1)</f>
        <v>0</v>
      </c>
      <c r="ET5" s="110">
        <f>SUMIFS('Expenditure Breakdown'!$G$6:$G$193, 'Expenditure Breakdown'!$H$6:$H$193, "&gt;="&amp;ET1,'Expenditure Breakdown'!$H$6:$H$193, "&lt;"&amp;EU1)</f>
        <v>0</v>
      </c>
      <c r="EU5" s="110">
        <f>SUMIFS('Expenditure Breakdown'!$G$6:$G$193, 'Expenditure Breakdown'!$H$6:$H$193, "&gt;="&amp;EU1,'Expenditure Breakdown'!$H$6:$H$193, "&lt;"&amp;EV1)</f>
        <v>0</v>
      </c>
      <c r="EV5" s="110">
        <f>SUMIFS('Expenditure Breakdown'!$G$6:$G$193, 'Expenditure Breakdown'!$H$6:$H$193, "&gt;="&amp;EV1,'Expenditure Breakdown'!$H$6:$H$193, "&lt;"&amp;EW1)</f>
        <v>0</v>
      </c>
      <c r="EW5" s="110">
        <f>SUMIFS('Expenditure Breakdown'!$G$6:$G$193, 'Expenditure Breakdown'!$H$6:$H$193, "&gt;="&amp;EW1,'Expenditure Breakdown'!$H$6:$H$193, "&lt;"&amp;EX1)</f>
        <v>0</v>
      </c>
      <c r="EX5" s="110">
        <f>SUMIFS('Expenditure Breakdown'!$G$6:$G$193, 'Expenditure Breakdown'!$H$6:$H$193, "&gt;="&amp;EX1,'Expenditure Breakdown'!$H$6:$H$193, "&lt;"&amp;EY1)</f>
        <v>0</v>
      </c>
      <c r="EY5" s="110">
        <f>SUMIFS('Expenditure Breakdown'!$G$6:$G$193, 'Expenditure Breakdown'!$H$6:$H$193, "&gt;="&amp;EY1,'Expenditure Breakdown'!$H$6:$H$193, "&lt;"&amp;EZ1)</f>
        <v>0</v>
      </c>
      <c r="EZ5" s="110">
        <f>SUMIFS('Expenditure Breakdown'!$G$6:$G$193, 'Expenditure Breakdown'!$H$6:$H$193, "&gt;="&amp;EZ1,'Expenditure Breakdown'!$H$6:$H$193, "&lt;"&amp;FA1)</f>
        <v>0</v>
      </c>
      <c r="FA5" s="110">
        <f>SUMIFS('Expenditure Breakdown'!$G$6:$G$193, 'Expenditure Breakdown'!$H$6:$H$193, "&gt;="&amp;FA1,'Expenditure Breakdown'!$H$6:$H$193, "&lt;"&amp;FB1)</f>
        <v>0</v>
      </c>
      <c r="FB5" s="110">
        <f>SUMIFS('Expenditure Breakdown'!$G$6:$G$193, 'Expenditure Breakdown'!$H$6:$H$193, "&gt;="&amp;FB1,'Expenditure Breakdown'!$H$6:$H$193, "&lt;"&amp;FC1)</f>
        <v>0</v>
      </c>
      <c r="FC5" s="110">
        <f>SUMIFS('Expenditure Breakdown'!$G$6:$G$193, 'Expenditure Breakdown'!$H$6:$H$193, "&gt;="&amp;FC1,'Expenditure Breakdown'!$H$6:$H$193, "&lt;"&amp;FD1)</f>
        <v>0</v>
      </c>
      <c r="FD5" s="110">
        <f>SUMIFS('Expenditure Breakdown'!$G$6:$G$193, 'Expenditure Breakdown'!$H$6:$H$193, "&gt;="&amp;FD1,'Expenditure Breakdown'!$H$6:$H$193, "&lt;"&amp;FE1)</f>
        <v>0</v>
      </c>
      <c r="FE5" s="110">
        <f>SUMIFS('Expenditure Breakdown'!$G$6:$G$193, 'Expenditure Breakdown'!$H$6:$H$193, "&gt;="&amp;FE1,'Expenditure Breakdown'!$H$6:$H$193, "&lt;"&amp;FF1)</f>
        <v>0</v>
      </c>
      <c r="FF5" s="110">
        <f>SUMIFS('Expenditure Breakdown'!$G$6:$G$193, 'Expenditure Breakdown'!$H$6:$H$193, "&gt;="&amp;FF1,'Expenditure Breakdown'!$H$6:$H$193, "&lt;"&amp;FG1)</f>
        <v>0</v>
      </c>
      <c r="FG5" s="110">
        <f>SUMIFS('Expenditure Breakdown'!$G$6:$G$193, 'Expenditure Breakdown'!$H$6:$H$193, "&gt;="&amp;FG1,'Expenditure Breakdown'!$H$6:$H$193, "&lt;"&amp;FH1)</f>
        <v>0</v>
      </c>
      <c r="FH5" s="110">
        <f>SUMIFS('Expenditure Breakdown'!$G$6:$G$193, 'Expenditure Breakdown'!$H$6:$H$193, "&gt;="&amp;FH1,'Expenditure Breakdown'!$H$6:$H$193, "&lt;"&amp;FI1)</f>
        <v>0</v>
      </c>
      <c r="FI5" s="110">
        <f>SUMIFS('Expenditure Breakdown'!$G$6:$G$193, 'Expenditure Breakdown'!$H$6:$H$193, "&gt;="&amp;FI1,'Expenditure Breakdown'!$H$6:$H$193, "&lt;"&amp;FJ1)</f>
        <v>0</v>
      </c>
      <c r="FJ5" s="110">
        <f>SUMIFS('Expenditure Breakdown'!$G$6:$G$193, 'Expenditure Breakdown'!$H$6:$H$193, "&gt;="&amp;FJ1,'Expenditure Breakdown'!$H$6:$H$193, "&lt;"&amp;FK1)</f>
        <v>0</v>
      </c>
      <c r="FK5" s="110">
        <f>SUMIFS('Expenditure Breakdown'!$G$6:$G$193, 'Expenditure Breakdown'!$H$6:$H$193, "&gt;="&amp;FK1,'Expenditure Breakdown'!$H$6:$H$193, "&lt;"&amp;FL1)</f>
        <v>0</v>
      </c>
      <c r="FL5" s="110">
        <f>SUMIFS('Expenditure Breakdown'!$G$6:$G$193, 'Expenditure Breakdown'!$H$6:$H$193, "&gt;="&amp;FL1,'Expenditure Breakdown'!$H$6:$H$193, "&lt;"&amp;FM1)</f>
        <v>0</v>
      </c>
      <c r="FM5" s="110">
        <f>SUMIFS('Expenditure Breakdown'!$G$6:$G$193, 'Expenditure Breakdown'!$H$6:$H$193, "&gt;="&amp;FM1,'Expenditure Breakdown'!$H$6:$H$193, "&lt;"&amp;FN1)</f>
        <v>0</v>
      </c>
      <c r="FN5" s="110">
        <f>SUMIFS('Expenditure Breakdown'!$G$6:$G$193, 'Expenditure Breakdown'!$H$6:$H$193, "&gt;="&amp;FN1,'Expenditure Breakdown'!$H$6:$H$193, "&lt;"&amp;FO1)</f>
        <v>0</v>
      </c>
      <c r="FO5" s="110">
        <f>SUMIFS('Expenditure Breakdown'!$G$6:$G$193, 'Expenditure Breakdown'!$H$6:$H$193, "&gt;="&amp;FO1,'Expenditure Breakdown'!$H$6:$H$193, "&lt;"&amp;FP1)</f>
        <v>0</v>
      </c>
      <c r="FP5" s="110">
        <f>SUMIFS('Expenditure Breakdown'!$G$6:$G$193, 'Expenditure Breakdown'!$H$6:$H$193, "&gt;="&amp;FP1,'Expenditure Breakdown'!$H$6:$H$193, "&lt;"&amp;FQ1)</f>
        <v>0</v>
      </c>
      <c r="FQ5" s="110">
        <f>SUMIFS('Expenditure Breakdown'!$G$6:$G$193, 'Expenditure Breakdown'!$H$6:$H$193, "&gt;="&amp;FQ1,'Expenditure Breakdown'!$H$6:$H$193, "&lt;"&amp;FR1)</f>
        <v>0</v>
      </c>
      <c r="FR5" s="110">
        <f>SUMIFS('Expenditure Breakdown'!$G$6:$G$193, 'Expenditure Breakdown'!$H$6:$H$193, "&gt;="&amp;FR1,'Expenditure Breakdown'!$H$6:$H$193, "&lt;"&amp;FS1)</f>
        <v>0</v>
      </c>
      <c r="FS5" s="110">
        <f>SUMIFS('Expenditure Breakdown'!$G$6:$G$193, 'Expenditure Breakdown'!$H$6:$H$193, "&gt;="&amp;FS1,'Expenditure Breakdown'!$H$6:$H$193, "&lt;"&amp;FT1)</f>
        <v>0</v>
      </c>
      <c r="FT5" s="110">
        <f>SUMIFS('Expenditure Breakdown'!$G$6:$G$193, 'Expenditure Breakdown'!$H$6:$H$193, "&gt;="&amp;FT1,'Expenditure Breakdown'!$H$6:$H$193, "&lt;"&amp;FU1)</f>
        <v>0</v>
      </c>
      <c r="FU5" s="110">
        <f>SUMIFS('Expenditure Breakdown'!$G$6:$G$193, 'Expenditure Breakdown'!$H$6:$H$193, "&gt;="&amp;FU1,'Expenditure Breakdown'!$H$6:$H$193, "&lt;"&amp;FV1)</f>
        <v>0</v>
      </c>
      <c r="FV5" s="110">
        <f>SUMIFS('Expenditure Breakdown'!$G$6:$G$193, 'Expenditure Breakdown'!$H$6:$H$193, "&gt;="&amp;FV1,'Expenditure Breakdown'!$H$6:$H$193, "&lt;"&amp;FW1)</f>
        <v>0</v>
      </c>
      <c r="FW5" s="110">
        <f>SUMIFS('Expenditure Breakdown'!$G$6:$G$193, 'Expenditure Breakdown'!$H$6:$H$193, "&gt;="&amp;FW1,'Expenditure Breakdown'!$H$6:$H$193, "&lt;"&amp;FX1)</f>
        <v>0</v>
      </c>
      <c r="FX5" s="110">
        <f>SUMIFS('Expenditure Breakdown'!$G$6:$G$193, 'Expenditure Breakdown'!$H$6:$H$193, "&gt;="&amp;FX1,'Expenditure Breakdown'!$H$6:$H$193, "&lt;"&amp;FY1)</f>
        <v>0</v>
      </c>
      <c r="FY5" s="110">
        <f>SUMIFS('Expenditure Breakdown'!$G$6:$G$193, 'Expenditure Breakdown'!$H$6:$H$193, "&gt;="&amp;FY1,'Expenditure Breakdown'!$H$6:$H$193, "&lt;"&amp;FZ1)</f>
        <v>0</v>
      </c>
      <c r="FZ5" s="110">
        <f>SUMIFS('Expenditure Breakdown'!$G$6:$G$193, 'Expenditure Breakdown'!$H$6:$H$193, "&gt;="&amp;FZ1,'Expenditure Breakdown'!$H$6:$H$193, "&lt;"&amp;GA1)</f>
        <v>0</v>
      </c>
      <c r="GA5" s="110">
        <f>SUMIFS('Expenditure Breakdown'!$G$6:$G$193, 'Expenditure Breakdown'!$H$6:$H$193, "&gt;="&amp;GA1,'Expenditure Breakdown'!$H$6:$H$193, "&lt;"&amp;GB1)</f>
        <v>0</v>
      </c>
      <c r="GB5" s="110">
        <f>SUMIFS('Expenditure Breakdown'!$G$6:$G$193, 'Expenditure Breakdown'!$H$6:$H$193, "&gt;="&amp;GB1,'Expenditure Breakdown'!$H$6:$H$193, "&lt;"&amp;GC1)</f>
        <v>0</v>
      </c>
      <c r="GC5" s="110">
        <f>SUMIFS('Expenditure Breakdown'!$G$6:$G$193, 'Expenditure Breakdown'!$H$6:$H$193, "&gt;="&amp;GC1,'Expenditure Breakdown'!$H$6:$H$193, "&lt;"&amp;GD1)</f>
        <v>0</v>
      </c>
      <c r="GD5" s="110">
        <f>SUMIFS('Expenditure Breakdown'!$G$6:$G$193, 'Expenditure Breakdown'!$H$6:$H$193, "&gt;="&amp;GD1,'Expenditure Breakdown'!$H$6:$H$193, "&lt;"&amp;GE1)</f>
        <v>0</v>
      </c>
      <c r="GE5" s="110">
        <f>SUMIFS('Expenditure Breakdown'!$G$6:$G$193, 'Expenditure Breakdown'!$H$6:$H$193, "&gt;="&amp;GE1,'Expenditure Breakdown'!$H$6:$H$193, "&lt;"&amp;GF1)</f>
        <v>0</v>
      </c>
      <c r="GF5" s="110">
        <f>SUMIFS('Expenditure Breakdown'!$G$6:$G$193, 'Expenditure Breakdown'!$H$6:$H$193, "&gt;="&amp;GF1,'Expenditure Breakdown'!$H$6:$H$193, "&lt;"&amp;GG1)</f>
        <v>0</v>
      </c>
      <c r="GG5" s="110">
        <f>SUMIFS('Expenditure Breakdown'!$G$6:$G$193, 'Expenditure Breakdown'!$H$6:$H$193, "&gt;="&amp;GG1,'Expenditure Breakdown'!$H$6:$H$193, "&lt;"&amp;GH1)</f>
        <v>0</v>
      </c>
      <c r="GH5" s="110">
        <f>SUMIFS('Expenditure Breakdown'!$G$6:$G$193, 'Expenditure Breakdown'!$H$6:$H$193, "&gt;="&amp;GH1,'Expenditure Breakdown'!$H$6:$H$193, "&lt;"&amp;GI1)</f>
        <v>0</v>
      </c>
      <c r="GI5" s="110">
        <f>SUMIFS('Expenditure Breakdown'!$G$6:$G$193, 'Expenditure Breakdown'!$H$6:$H$193, "&gt;="&amp;GI1,'Expenditure Breakdown'!$H$6:$H$193, "&lt;"&amp;GJ1)</f>
        <v>0</v>
      </c>
      <c r="GJ5" s="110">
        <f>SUMIFS('Expenditure Breakdown'!$G$6:$G$193, 'Expenditure Breakdown'!$H$6:$H$193, "&gt;="&amp;GJ1,'Expenditure Breakdown'!$H$6:$H$193, "&lt;"&amp;GK1)</f>
        <v>0</v>
      </c>
      <c r="GK5" s="110">
        <f>SUMIFS('Expenditure Breakdown'!$G$6:$G$193, 'Expenditure Breakdown'!$H$6:$H$193, "&gt;="&amp;GK1,'Expenditure Breakdown'!$H$6:$H$193, "&lt;"&amp;GL1)</f>
        <v>0</v>
      </c>
      <c r="GL5" s="110">
        <f>SUMIFS('Expenditure Breakdown'!$G$6:$G$193, 'Expenditure Breakdown'!$H$6:$H$193, "&gt;="&amp;GL1,'Expenditure Breakdown'!$H$6:$H$193, "&lt;"&amp;GM1)</f>
        <v>0</v>
      </c>
      <c r="GM5" s="110">
        <f>SUMIFS('Expenditure Breakdown'!$G$6:$G$193, 'Expenditure Breakdown'!$H$6:$H$193, "&gt;="&amp;GM1,'Expenditure Breakdown'!$H$6:$H$193, "&lt;"&amp;GN1)</f>
        <v>0</v>
      </c>
      <c r="GN5" s="110">
        <f>SUMIFS('Expenditure Breakdown'!$G$6:$G$193, 'Expenditure Breakdown'!$H$6:$H$193, "&gt;="&amp;GN1,'Expenditure Breakdown'!$H$6:$H$193, "&lt;"&amp;GO1)</f>
        <v>0</v>
      </c>
      <c r="GO5" s="110">
        <f>SUMIFS('Expenditure Breakdown'!$G$6:$G$193, 'Expenditure Breakdown'!$H$6:$H$193, "&gt;="&amp;GO1,'Expenditure Breakdown'!$H$6:$H$193, "&lt;"&amp;GP1)</f>
        <v>0</v>
      </c>
      <c r="GP5" s="110">
        <f>SUMIFS('Expenditure Breakdown'!$G$6:$G$193, 'Expenditure Breakdown'!$H$6:$H$193, "&gt;="&amp;GP1,'Expenditure Breakdown'!$H$6:$H$193, "&lt;"&amp;GQ1)</f>
        <v>0</v>
      </c>
      <c r="GQ5" s="110">
        <f>SUMIFS('Expenditure Breakdown'!$G$6:$G$193, 'Expenditure Breakdown'!$H$6:$H$193, "&gt;="&amp;GQ1,'Expenditure Breakdown'!$H$6:$H$193, "&lt;"&amp;GR1)</f>
        <v>0</v>
      </c>
      <c r="GR5" s="110">
        <f>SUMIFS('Expenditure Breakdown'!$G$6:$G$193, 'Expenditure Breakdown'!$H$6:$H$193, "&gt;="&amp;GR1,'Expenditure Breakdown'!$H$6:$H$193, "&lt;"&amp;GS1)</f>
        <v>0</v>
      </c>
      <c r="GS5" s="110">
        <f>SUMIFS('Expenditure Breakdown'!$G$6:$G$193, 'Expenditure Breakdown'!$H$6:$H$193, "&gt;="&amp;GS1,'Expenditure Breakdown'!$H$6:$H$193, "&lt;"&amp;GT1)</f>
        <v>0</v>
      </c>
      <c r="GT5" s="110">
        <f>SUMIFS('Expenditure Breakdown'!$G$6:$G$193, 'Expenditure Breakdown'!$H$6:$H$193, "&gt;="&amp;GT1,'Expenditure Breakdown'!$H$6:$H$193, "&lt;"&amp;GU1)</f>
        <v>0</v>
      </c>
      <c r="GU5" s="110">
        <f>SUMIFS('Expenditure Breakdown'!$G$6:$G$193, 'Expenditure Breakdown'!$H$6:$H$193, "&gt;="&amp;GU1,'Expenditure Breakdown'!$H$6:$H$193, "&lt;"&amp;GV1)</f>
        <v>0</v>
      </c>
      <c r="GV5" s="110">
        <f>SUMIFS('Expenditure Breakdown'!$G$6:$G$193, 'Expenditure Breakdown'!$H$6:$H$193, "&gt;="&amp;GV1,'Expenditure Breakdown'!$H$6:$H$193, "&lt;"&amp;GW1)</f>
        <v>0</v>
      </c>
      <c r="GW5" s="110">
        <f>SUMIFS('Expenditure Breakdown'!$G$6:$G$193, 'Expenditure Breakdown'!$H$6:$H$193, "&gt;="&amp;GW1,'Expenditure Breakdown'!$H$6:$H$193, "&lt;"&amp;GX1)</f>
        <v>0</v>
      </c>
      <c r="GX5" s="110">
        <f>SUMIFS('Expenditure Breakdown'!$G$6:$G$193, 'Expenditure Breakdown'!$H$6:$H$193, "&gt;="&amp;GX1,'Expenditure Breakdown'!$H$6:$H$193, "&lt;"&amp;GY1)</f>
        <v>0</v>
      </c>
      <c r="GY5" s="110">
        <f>SUMIFS('Expenditure Breakdown'!$G$6:$G$193, 'Expenditure Breakdown'!$H$6:$H$193, "&gt;="&amp;GY1,'Expenditure Breakdown'!$H$6:$H$193, "&lt;"&amp;GZ1)</f>
        <v>0</v>
      </c>
      <c r="GZ5" s="110">
        <f>SUMIFS('Expenditure Breakdown'!$G$6:$G$193, 'Expenditure Breakdown'!$H$6:$H$193, "&gt;="&amp;GZ1,'Expenditure Breakdown'!$H$6:$H$193, "&lt;"&amp;HA1)</f>
        <v>0</v>
      </c>
      <c r="HA5" s="110">
        <f>SUMIFS('Expenditure Breakdown'!$G$6:$G$193, 'Expenditure Breakdown'!$H$6:$H$193, "&gt;="&amp;HA1,'Expenditure Breakdown'!$H$6:$H$193, "&lt;"&amp;HB1)</f>
        <v>0</v>
      </c>
      <c r="HB5" s="110">
        <f>SUMIFS('Expenditure Breakdown'!$G$6:$G$193, 'Expenditure Breakdown'!$H$6:$H$193, "&gt;="&amp;HB1,'Expenditure Breakdown'!$H$6:$H$193, "&lt;"&amp;HC1)</f>
        <v>0</v>
      </c>
      <c r="HC5" s="110">
        <f>SUMIFS('Expenditure Breakdown'!$G$6:$G$193, 'Expenditure Breakdown'!$H$6:$H$193, "&gt;="&amp;HC1,'Expenditure Breakdown'!$H$6:$H$193, "&lt;"&amp;HD1)</f>
        <v>0</v>
      </c>
      <c r="HD5" s="110">
        <f>SUMIFS('Expenditure Breakdown'!$G$6:$G$193, 'Expenditure Breakdown'!$H$6:$H$193, "&gt;="&amp;HD1,'Expenditure Breakdown'!$H$6:$H$193, "&lt;"&amp;HE1)</f>
        <v>0</v>
      </c>
      <c r="HE5" s="110">
        <f>SUMIFS('Expenditure Breakdown'!$G$6:$G$193, 'Expenditure Breakdown'!$H$6:$H$193, "&gt;="&amp;HE1,'Expenditure Breakdown'!$H$6:$H$193, "&lt;"&amp;HF1)</f>
        <v>0</v>
      </c>
      <c r="HF5" s="110">
        <f>SUMIFS('Expenditure Breakdown'!$G$6:$G$193, 'Expenditure Breakdown'!$H$6:$H$193, "&gt;="&amp;HF1,'Expenditure Breakdown'!$H$6:$H$193, "&lt;"&amp;HG1)</f>
        <v>0</v>
      </c>
      <c r="HG5" s="110">
        <f>SUMIFS('Expenditure Breakdown'!$G$6:$G$193, 'Expenditure Breakdown'!$H$6:$H$193, "&gt;="&amp;HG1,'Expenditure Breakdown'!$H$6:$H$193, "&lt;"&amp;HH1)</f>
        <v>0</v>
      </c>
      <c r="HH5" s="110">
        <f>SUMIFS('Expenditure Breakdown'!$G$6:$G$193, 'Expenditure Breakdown'!$H$6:$H$193, "&gt;="&amp;HH1,'Expenditure Breakdown'!$H$6:$H$193, "&lt;"&amp;HI1)</f>
        <v>0</v>
      </c>
      <c r="HI5" s="110">
        <f>SUMIFS('Expenditure Breakdown'!$G$6:$G$193, 'Expenditure Breakdown'!$H$6:$H$193, "&gt;="&amp;HI1,'Expenditure Breakdown'!$H$6:$H$193, "&lt;"&amp;HJ1)</f>
        <v>0</v>
      </c>
      <c r="HJ5" s="110">
        <f>SUMIFS('Expenditure Breakdown'!$G$6:$G$193, 'Expenditure Breakdown'!$H$6:$H$193, "&gt;="&amp;HJ1,'Expenditure Breakdown'!$H$6:$H$193, "&lt;"&amp;HK1)</f>
        <v>0</v>
      </c>
      <c r="HK5" s="110">
        <f>SUMIFS('Expenditure Breakdown'!$G$6:$G$193, 'Expenditure Breakdown'!$H$6:$H$193, "&gt;="&amp;HK1,'Expenditure Breakdown'!$H$6:$H$193, "&lt;"&amp;HL1)</f>
        <v>0</v>
      </c>
      <c r="HL5" s="110">
        <f>SUMIFS('Expenditure Breakdown'!$G$6:$G$193, 'Expenditure Breakdown'!$H$6:$H$193, "&gt;="&amp;HL1,'Expenditure Breakdown'!$H$6:$H$193, "&lt;"&amp;HM1)</f>
        <v>0</v>
      </c>
      <c r="HM5" s="110">
        <f>SUMIFS('Expenditure Breakdown'!$G$6:$G$193, 'Expenditure Breakdown'!$H$6:$H$193, "&gt;="&amp;HM1,'Expenditure Breakdown'!$H$6:$H$193, "&lt;"&amp;HN1)</f>
        <v>0</v>
      </c>
      <c r="HN5" s="110">
        <f>SUMIFS('Expenditure Breakdown'!$G$6:$G$193, 'Expenditure Breakdown'!$H$6:$H$193, "&gt;="&amp;HN1,'Expenditure Breakdown'!$H$6:$H$193, "&lt;"&amp;HO1)</f>
        <v>0</v>
      </c>
      <c r="HO5" s="110">
        <f>SUMIFS('Expenditure Breakdown'!$G$6:$G$193, 'Expenditure Breakdown'!$H$6:$H$193, "&gt;="&amp;HO1,'Expenditure Breakdown'!$H$6:$H$193, "&lt;"&amp;HP1)</f>
        <v>0</v>
      </c>
      <c r="HP5" s="110">
        <f>SUMIFS('Expenditure Breakdown'!$G$6:$G$193, 'Expenditure Breakdown'!$H$6:$H$193, "&gt;="&amp;HP1,'Expenditure Breakdown'!$H$6:$H$193, "&lt;"&amp;HQ1)</f>
        <v>0</v>
      </c>
      <c r="HQ5" s="110">
        <f>SUMIFS('Expenditure Breakdown'!$G$6:$G$193, 'Expenditure Breakdown'!$H$6:$H$193, "&gt;="&amp;HQ1,'Expenditure Breakdown'!$H$6:$H$193, "&lt;"&amp;HR1)</f>
        <v>0</v>
      </c>
      <c r="HR5" s="110">
        <f>SUMIFS('Expenditure Breakdown'!$G$6:$G$193, 'Expenditure Breakdown'!$H$6:$H$193, "&gt;="&amp;HR1,'Expenditure Breakdown'!$H$6:$H$193, "&lt;"&amp;HS1)</f>
        <v>0</v>
      </c>
      <c r="HS5" s="110">
        <f>SUMIFS('Expenditure Breakdown'!$G$6:$G$193, 'Expenditure Breakdown'!$H$6:$H$193, "&gt;="&amp;HS1,'Expenditure Breakdown'!$H$6:$H$193, "&lt;"&amp;HT1)</f>
        <v>0</v>
      </c>
      <c r="HT5" s="110">
        <f>SUMIFS('Expenditure Breakdown'!$G$6:$G$193, 'Expenditure Breakdown'!$H$6:$H$193, "&gt;="&amp;HT1,'Expenditure Breakdown'!$H$6:$H$193, "&lt;"&amp;HU1)</f>
        <v>0</v>
      </c>
      <c r="HU5" s="110">
        <f>SUMIFS('Expenditure Breakdown'!$G$6:$G$193, 'Expenditure Breakdown'!$H$6:$H$193, "&gt;="&amp;HU1,'Expenditure Breakdown'!$H$6:$H$193, "&lt;"&amp;HV1)</f>
        <v>0</v>
      </c>
      <c r="HV5" s="110">
        <f>SUMIFS('Expenditure Breakdown'!$G$6:$G$193, 'Expenditure Breakdown'!$H$6:$H$193, "&gt;="&amp;HV1,'Expenditure Breakdown'!$H$6:$H$193, "&lt;"&amp;HW1)</f>
        <v>0</v>
      </c>
      <c r="HW5" s="110">
        <f>SUMIFS('Expenditure Breakdown'!$G$6:$G$193, 'Expenditure Breakdown'!$H$6:$H$193, "&gt;="&amp;HW1,'Expenditure Breakdown'!$H$6:$H$193, "&lt;"&amp;HX1)</f>
        <v>0</v>
      </c>
      <c r="HX5" s="110">
        <f>SUMIFS('Expenditure Breakdown'!$G$6:$G$193, 'Expenditure Breakdown'!$H$6:$H$193, "&gt;="&amp;HX1,'Expenditure Breakdown'!$H$6:$H$193, "&lt;"&amp;HY1)</f>
        <v>0</v>
      </c>
      <c r="HY5" s="110">
        <f>SUMIFS('Expenditure Breakdown'!$G$6:$G$193, 'Expenditure Breakdown'!$H$6:$H$193, "&gt;="&amp;HY1,'Expenditure Breakdown'!$H$6:$H$193, "&lt;"&amp;HZ1)</f>
        <v>0</v>
      </c>
      <c r="HZ5" s="110">
        <f>SUMIFS('Expenditure Breakdown'!$G$6:$G$193, 'Expenditure Breakdown'!$H$6:$H$193, "&gt;="&amp;HZ1,'Expenditure Breakdown'!$H$6:$H$193, "&lt;"&amp;IA1)</f>
        <v>0</v>
      </c>
      <c r="IA5" s="110">
        <f>SUMIFS('Expenditure Breakdown'!$G$6:$G$193, 'Expenditure Breakdown'!$H$6:$H$193, "&gt;="&amp;IA1,'Expenditure Breakdown'!$H$6:$H$193, "&lt;"&amp;IB1)</f>
        <v>0</v>
      </c>
      <c r="IB5" s="110">
        <f>SUMIFS('Expenditure Breakdown'!$G$6:$G$193, 'Expenditure Breakdown'!$H$6:$H$193, "&gt;="&amp;IB1,'Expenditure Breakdown'!$H$6:$H$193, "&lt;"&amp;IC1)</f>
        <v>0</v>
      </c>
      <c r="IC5" s="110">
        <f>SUMIFS('Expenditure Breakdown'!$G$6:$G$193, 'Expenditure Breakdown'!$H$6:$H$193, "&gt;="&amp;IC1,'Expenditure Breakdown'!$H$6:$H$193, "&lt;"&amp;ID1)</f>
        <v>0</v>
      </c>
      <c r="ID5" s="110">
        <f>SUMIFS('Expenditure Breakdown'!$G$6:$G$193, 'Expenditure Breakdown'!$H$6:$H$193, "&gt;="&amp;ID1,'Expenditure Breakdown'!$H$6:$H$193, "&lt;"&amp;IE1)</f>
        <v>0</v>
      </c>
      <c r="IE5" s="110">
        <f>SUMIFS('Expenditure Breakdown'!$G$6:$G$193, 'Expenditure Breakdown'!$H$6:$H$193, "&gt;="&amp;IE1,'Expenditure Breakdown'!$H$6:$H$193, "&lt;"&amp;IF1)</f>
        <v>0</v>
      </c>
      <c r="IF5" s="110">
        <f>SUMIFS('Expenditure Breakdown'!$G$6:$G$193, 'Expenditure Breakdown'!$H$6:$H$193, "&gt;="&amp;IF1,'Expenditure Breakdown'!$H$6:$H$193, "&lt;"&amp;IG1)</f>
        <v>0</v>
      </c>
      <c r="IG5" s="110">
        <f>SUMIFS('Expenditure Breakdown'!$G$6:$G$193, 'Expenditure Breakdown'!$H$6:$H$193, "&gt;="&amp;IG1,'Expenditure Breakdown'!$H$6:$H$193, "&lt;"&amp;IH1)</f>
        <v>0</v>
      </c>
      <c r="IH5" s="110">
        <f>SUMIFS('Expenditure Breakdown'!$G$6:$G$193, 'Expenditure Breakdown'!$H$6:$H$193, "&gt;="&amp;IH1,'Expenditure Breakdown'!$H$6:$H$193, "&lt;"&amp;II1)</f>
        <v>0</v>
      </c>
      <c r="II5" s="110">
        <f>SUMIFS('Expenditure Breakdown'!$G$6:$G$193, 'Expenditure Breakdown'!$H$6:$H$193, "&gt;="&amp;II1,'Expenditure Breakdown'!$H$6:$H$193, "&lt;"&amp;IJ1)</f>
        <v>0</v>
      </c>
      <c r="IJ5" s="110">
        <f>SUMIFS('Expenditure Breakdown'!$G$6:$G$193, 'Expenditure Breakdown'!$H$6:$H$193, "&gt;="&amp;IJ1,'Expenditure Breakdown'!$H$6:$H$193, "&lt;"&amp;IK1)</f>
        <v>0</v>
      </c>
      <c r="IK5" s="110">
        <f>SUMIFS('Expenditure Breakdown'!$G$6:$G$193, 'Expenditure Breakdown'!$H$6:$H$193, "&gt;="&amp;IK1,'Expenditure Breakdown'!$H$6:$H$193, "&lt;"&amp;IL1)</f>
        <v>0</v>
      </c>
      <c r="IL5" s="110">
        <f>SUMIFS('Expenditure Breakdown'!$G$6:$G$193, 'Expenditure Breakdown'!$H$6:$H$193, "&gt;="&amp;IL1,'Expenditure Breakdown'!$H$6:$H$193, "&lt;"&amp;IM1)</f>
        <v>0</v>
      </c>
      <c r="IM5" s="110">
        <f>SUMIFS('Expenditure Breakdown'!$G$6:$G$193, 'Expenditure Breakdown'!$H$6:$H$193, "&gt;="&amp;IM1,'Expenditure Breakdown'!$H$6:$H$193, "&lt;"&amp;IN1)</f>
        <v>0</v>
      </c>
      <c r="IN5" s="110">
        <f>SUMIFS('Expenditure Breakdown'!$G$6:$G$193, 'Expenditure Breakdown'!$H$6:$H$193, "&gt;="&amp;IN1,'Expenditure Breakdown'!$H$6:$H$193, "&lt;"&amp;IO1)</f>
        <v>0</v>
      </c>
      <c r="IO5" s="110">
        <f>SUMIFS('Expenditure Breakdown'!$G$6:$G$193, 'Expenditure Breakdown'!$H$6:$H$193, "&gt;="&amp;IO1,'Expenditure Breakdown'!$H$6:$H$193, "&lt;"&amp;IP1)</f>
        <v>0</v>
      </c>
      <c r="IP5" s="110">
        <f>SUMIFS('Expenditure Breakdown'!$G$6:$G$193, 'Expenditure Breakdown'!$H$6:$H$193, "&gt;="&amp;IP1,'Expenditure Breakdown'!$H$6:$H$193, "&lt;"&amp;IQ1)</f>
        <v>0</v>
      </c>
      <c r="IQ5" s="110">
        <f>SUMIFS('Expenditure Breakdown'!$G$6:$G$193, 'Expenditure Breakdown'!$H$6:$H$193, "&gt;="&amp;IQ1,'Expenditure Breakdown'!$H$6:$H$193, "&lt;"&amp;IR1)</f>
        <v>0</v>
      </c>
      <c r="IR5" s="110">
        <f>SUMIFS('Expenditure Breakdown'!$G$6:$G$193, 'Expenditure Breakdown'!$H$6:$H$193, "&gt;="&amp;IR1,'Expenditure Breakdown'!$H$6:$H$193, "&lt;"&amp;IS1)</f>
        <v>0</v>
      </c>
      <c r="IS5" s="110">
        <f>SUMIFS('Expenditure Breakdown'!$G$6:$G$193, 'Expenditure Breakdown'!$H$6:$H$193, "&gt;="&amp;IS1,'Expenditure Breakdown'!$H$6:$H$193, "&lt;"&amp;IT1)</f>
        <v>0</v>
      </c>
      <c r="IT5" s="110">
        <f>SUMIFS('Expenditure Breakdown'!$G$6:$G$193, 'Expenditure Breakdown'!$H$6:$H$193, "&gt;="&amp;IT1,'Expenditure Breakdown'!$H$6:$H$193, "&lt;"&amp;IU1)</f>
        <v>0</v>
      </c>
      <c r="IU5" s="110">
        <f>SUMIFS('Expenditure Breakdown'!$G$6:$G$193, 'Expenditure Breakdown'!$H$6:$H$193, "&gt;="&amp;IU1,'Expenditure Breakdown'!$H$6:$H$193, "&lt;"&amp;IV1)</f>
        <v>0</v>
      </c>
      <c r="IV5" s="110">
        <f>SUMIFS('Expenditure Breakdown'!$G$6:$G$193, 'Expenditure Breakdown'!$H$6:$H$193, "&gt;="&amp;IV1,'Expenditure Breakdown'!$H$6:$H$193, "&lt;"&amp;IW1)</f>
        <v>0</v>
      </c>
      <c r="IW5" s="110">
        <f>SUMIFS('Expenditure Breakdown'!$G$6:$G$193, 'Expenditure Breakdown'!$H$6:$H$193, "&gt;="&amp;IW1,'Expenditure Breakdown'!$H$6:$H$193, "&lt;"&amp;IX1)</f>
        <v>0</v>
      </c>
      <c r="IX5" s="110">
        <f>SUMIFS('Expenditure Breakdown'!$G$6:$G$193, 'Expenditure Breakdown'!$H$6:$H$193, "&gt;="&amp;IX1,'Expenditure Breakdown'!$H$6:$H$193, "&lt;"&amp;IY1)</f>
        <v>0</v>
      </c>
      <c r="IY5" s="110">
        <f>SUMIFS('Expenditure Breakdown'!$G$6:$G$193, 'Expenditure Breakdown'!$H$6:$H$193, "&gt;="&amp;IY1,'Expenditure Breakdown'!$H$6:$H$193, "&lt;"&amp;IZ1)</f>
        <v>0</v>
      </c>
      <c r="IZ5" s="110">
        <f>SUMIFS('Expenditure Breakdown'!$G$6:$G$193, 'Expenditure Breakdown'!$H$6:$H$193, "&gt;="&amp;IZ1,'Expenditure Breakdown'!$H$6:$H$193, "&lt;"&amp;JA1)</f>
        <v>0</v>
      </c>
      <c r="JA5" s="110">
        <f>SUMIFS('Expenditure Breakdown'!$G$6:$G$193, 'Expenditure Breakdown'!$H$6:$H$193, "&gt;="&amp;JA1,'Expenditure Breakdown'!$H$6:$H$193, "&lt;"&amp;JB1)</f>
        <v>0</v>
      </c>
      <c r="JB5" s="110">
        <f>SUMIFS('Expenditure Breakdown'!$G$6:$G$193, 'Expenditure Breakdown'!$H$6:$H$193, "&gt;="&amp;JB1,'Expenditure Breakdown'!$H$6:$H$193, "&lt;"&amp;JC1)</f>
        <v>0</v>
      </c>
      <c r="JC5" s="110">
        <f>SUMIFS('Expenditure Breakdown'!$G$6:$G$193, 'Expenditure Breakdown'!$H$6:$H$193, "&gt;="&amp;JC1,'Expenditure Breakdown'!$H$6:$H$193, "&lt;"&amp;JD1)</f>
        <v>0</v>
      </c>
      <c r="JD5" s="110">
        <f>SUMIFS('Expenditure Breakdown'!$G$6:$G$193, 'Expenditure Breakdown'!$H$6:$H$193, "&gt;="&amp;JD1,'Expenditure Breakdown'!$H$6:$H$193, "&lt;"&amp;JE1)</f>
        <v>0</v>
      </c>
      <c r="JE5" s="110">
        <f>SUMIFS('Expenditure Breakdown'!$G$6:$G$193, 'Expenditure Breakdown'!$H$6:$H$193, "&gt;="&amp;JE1,'Expenditure Breakdown'!$H$6:$H$193, "&lt;"&amp;JF1)</f>
        <v>0</v>
      </c>
      <c r="JF5" s="110">
        <f>SUMIFS('Expenditure Breakdown'!$G$6:$G$193, 'Expenditure Breakdown'!$H$6:$H$193, "&gt;="&amp;JF1,'Expenditure Breakdown'!$H$6:$H$193, "&lt;"&amp;JG1)</f>
        <v>0</v>
      </c>
      <c r="JG5" s="110">
        <f>SUMIFS('Expenditure Breakdown'!$G$6:$G$193, 'Expenditure Breakdown'!$H$6:$H$193, "&gt;="&amp;JG1,'Expenditure Breakdown'!$H$6:$H$193, "&lt;"&amp;JH1)</f>
        <v>0</v>
      </c>
      <c r="JH5" s="110">
        <f>SUMIFS('Expenditure Breakdown'!$G$6:$G$193, 'Expenditure Breakdown'!$H$6:$H$193, "&gt;="&amp;JH1,'Expenditure Breakdown'!$H$6:$H$193, "&lt;"&amp;JI1)</f>
        <v>0</v>
      </c>
      <c r="JI5" s="110">
        <f>SUMIFS('Expenditure Breakdown'!$G$6:$G$193, 'Expenditure Breakdown'!$H$6:$H$193, "&gt;="&amp;JI1,'Expenditure Breakdown'!$H$6:$H$193, "&lt;"&amp;JJ1)</f>
        <v>0</v>
      </c>
      <c r="JJ5" s="110">
        <f>SUMIFS('Expenditure Breakdown'!$G$6:$G$193, 'Expenditure Breakdown'!$H$6:$H$193, "&gt;="&amp;JJ1,'Expenditure Breakdown'!$H$6:$H$193, "&lt;"&amp;JK1)</f>
        <v>0</v>
      </c>
      <c r="JK5" s="110">
        <f>SUMIFS('Expenditure Breakdown'!$G$6:$G$193, 'Expenditure Breakdown'!$H$6:$H$193, "&gt;="&amp;JK1,'Expenditure Breakdown'!$H$6:$H$193, "&lt;"&amp;JL1)</f>
        <v>0</v>
      </c>
      <c r="JL5" s="110">
        <f>SUMIFS('Expenditure Breakdown'!$G$6:$G$193, 'Expenditure Breakdown'!$H$6:$H$193, "&gt;="&amp;JL1,'Expenditure Breakdown'!$H$6:$H$193, "&lt;"&amp;JM1)</f>
        <v>0</v>
      </c>
      <c r="JM5" s="110">
        <f>SUMIFS('Expenditure Breakdown'!$G$6:$G$193, 'Expenditure Breakdown'!$H$6:$H$193, "&gt;="&amp;JM1,'Expenditure Breakdown'!$H$6:$H$193, "&lt;"&amp;JN1)</f>
        <v>0</v>
      </c>
      <c r="JN5" s="110">
        <f>SUMIFS('Expenditure Breakdown'!$G$6:$G$193, 'Expenditure Breakdown'!$H$6:$H$193, "&gt;="&amp;JN1,'Expenditure Breakdown'!$H$6:$H$193, "&lt;"&amp;JO1)</f>
        <v>0</v>
      </c>
      <c r="JO5" s="110">
        <f>SUMIFS('Expenditure Breakdown'!$G$6:$G$193, 'Expenditure Breakdown'!$H$6:$H$193, "&gt;="&amp;JO1,'Expenditure Breakdown'!$H$6:$H$193, "&lt;"&amp;JP1)</f>
        <v>0</v>
      </c>
      <c r="JP5" s="110">
        <f>SUMIFS('Expenditure Breakdown'!$G$6:$G$193, 'Expenditure Breakdown'!$H$6:$H$193, "&gt;="&amp;JP1,'Expenditure Breakdown'!$H$6:$H$193, "&lt;"&amp;JQ1)</f>
        <v>0</v>
      </c>
      <c r="JQ5" s="110">
        <f>SUMIFS('Expenditure Breakdown'!$G$6:$G$193, 'Expenditure Breakdown'!$H$6:$H$193, "&gt;="&amp;JQ1,'Expenditure Breakdown'!$H$6:$H$193, "&lt;"&amp;JR1)</f>
        <v>0</v>
      </c>
      <c r="JR5" s="110">
        <f>SUMIFS('Expenditure Breakdown'!$G$6:$G$193, 'Expenditure Breakdown'!$H$6:$H$193, "&gt;="&amp;JR1,'Expenditure Breakdown'!$H$6:$H$193, "&lt;"&amp;JS1)</f>
        <v>0</v>
      </c>
      <c r="JS5" s="110">
        <f>SUMIFS('Expenditure Breakdown'!$G$6:$G$193, 'Expenditure Breakdown'!$H$6:$H$193, "&gt;="&amp;JS1,'Expenditure Breakdown'!$H$6:$H$193, "&lt;"&amp;JT1)</f>
        <v>0</v>
      </c>
      <c r="JT5" s="110">
        <f>SUMIFS('Expenditure Breakdown'!$G$6:$G$193, 'Expenditure Breakdown'!$H$6:$H$193, "&gt;="&amp;JT1,'Expenditure Breakdown'!$H$6:$H$193, "&lt;"&amp;JU1)</f>
        <v>0</v>
      </c>
      <c r="JU5" s="110">
        <f>SUMIFS('Expenditure Breakdown'!$G$6:$G$193, 'Expenditure Breakdown'!$H$6:$H$193, "&gt;="&amp;JU1,'Expenditure Breakdown'!$H$6:$H$193, "&lt;"&amp;JV1)</f>
        <v>0</v>
      </c>
      <c r="JV5" s="110">
        <f>SUMIFS('Expenditure Breakdown'!$G$6:$G$193, 'Expenditure Breakdown'!$H$6:$H$193, "&gt;="&amp;JV1,'Expenditure Breakdown'!$H$6:$H$193, "&lt;"&amp;JW1)</f>
        <v>0</v>
      </c>
      <c r="JW5" s="110">
        <f>SUMIFS('Expenditure Breakdown'!$G$6:$G$193, 'Expenditure Breakdown'!$H$6:$H$193, "&gt;="&amp;JW1,'Expenditure Breakdown'!$H$6:$H$193, "&lt;"&amp;JX1)</f>
        <v>0</v>
      </c>
      <c r="JX5" s="110">
        <f>SUMIFS('Expenditure Breakdown'!$G$6:$G$193, 'Expenditure Breakdown'!$H$6:$H$193, "&gt;="&amp;JX1,'Expenditure Breakdown'!$H$6:$H$193, "&lt;"&amp;JY1)</f>
        <v>0</v>
      </c>
      <c r="JY5" s="110">
        <f>SUMIFS('Expenditure Breakdown'!$G$6:$G$193, 'Expenditure Breakdown'!$H$6:$H$193, "&gt;="&amp;JY1,'Expenditure Breakdown'!$H$6:$H$193, "&lt;"&amp;JZ1)</f>
        <v>0</v>
      </c>
      <c r="JZ5" s="110">
        <f>SUMIFS('Expenditure Breakdown'!$G$6:$G$193, 'Expenditure Breakdown'!$H$6:$H$193, "&gt;="&amp;JZ1,'Expenditure Breakdown'!$H$6:$H$193, "&lt;"&amp;KA1)</f>
        <v>0</v>
      </c>
      <c r="KA5" s="110">
        <f>SUMIFS('Expenditure Breakdown'!$G$6:$G$193, 'Expenditure Breakdown'!$H$6:$H$193, "&gt;="&amp;KA1,'Expenditure Breakdown'!$H$6:$H$193, "&lt;"&amp;KB1)</f>
        <v>0</v>
      </c>
      <c r="KB5" s="110">
        <f>SUMIFS('Expenditure Breakdown'!$G$6:$G$193, 'Expenditure Breakdown'!$H$6:$H$193, "&gt;="&amp;KB1,'Expenditure Breakdown'!$H$6:$H$193, "&lt;"&amp;KC1)</f>
        <v>0</v>
      </c>
      <c r="KC5" s="110">
        <f>SUMIFS('Expenditure Breakdown'!$G$6:$G$193, 'Expenditure Breakdown'!$H$6:$H$193, "&gt;="&amp;KC1,'Expenditure Breakdown'!$H$6:$H$193, "&lt;"&amp;KD1)</f>
        <v>0</v>
      </c>
      <c r="KD5" s="110">
        <f>SUMIFS('Expenditure Breakdown'!$G$6:$G$193, 'Expenditure Breakdown'!$H$6:$H$193, "&gt;="&amp;KD1,'Expenditure Breakdown'!$H$6:$H$193, "&lt;"&amp;KE1)</f>
        <v>0</v>
      </c>
      <c r="KE5" s="110">
        <f>SUMIFS('Expenditure Breakdown'!$G$6:$G$193, 'Expenditure Breakdown'!$H$6:$H$193, "&gt;="&amp;KE1,'Expenditure Breakdown'!$H$6:$H$193, "&lt;"&amp;KF1)</f>
        <v>0</v>
      </c>
      <c r="KF5" s="110">
        <f>SUMIFS('Expenditure Breakdown'!$G$6:$G$193, 'Expenditure Breakdown'!$H$6:$H$193, "&gt;="&amp;KF1,'Expenditure Breakdown'!$H$6:$H$193, "&lt;"&amp;#REF!)</f>
        <v>0</v>
      </c>
      <c r="KG5" s="100"/>
      <c r="KH5" s="111"/>
      <c r="KI5" s="111"/>
    </row>
    <row r="6" spans="1:770" s="112" customFormat="1">
      <c r="A6" s="794"/>
      <c r="B6" s="108" t="s">
        <v>527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794"/>
      <c r="B7" s="113" t="s">
        <v>528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793" t="s">
        <v>223</v>
      </c>
      <c r="B8" s="101"/>
      <c r="C8" s="102" t="s">
        <v>303</v>
      </c>
      <c r="D8" s="102" t="s">
        <v>303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94"/>
      <c r="B9" s="118" t="s">
        <v>529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312300.51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0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62693.86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0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794"/>
      <c r="B10" s="118" t="s">
        <v>530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2757361.0594958337</v>
      </c>
      <c r="AD10" s="120">
        <f>AC10+AD9</f>
        <v>2757361.0594958337</v>
      </c>
      <c r="AE10" s="120">
        <f t="shared" si="21"/>
        <v>2757361.0594958337</v>
      </c>
      <c r="AF10" s="120">
        <f t="shared" si="21"/>
        <v>2757361.0594958337</v>
      </c>
      <c r="AG10" s="120">
        <f t="shared" si="21"/>
        <v>2757361.0594958337</v>
      </c>
      <c r="AH10" s="120">
        <f t="shared" si="21"/>
        <v>2757361.0594958337</v>
      </c>
      <c r="AI10" s="120">
        <f t="shared" si="21"/>
        <v>2757361.0594958337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2820054.9194958336</v>
      </c>
      <c r="AQ10" s="120">
        <f t="shared" si="21"/>
        <v>2820054.9194958336</v>
      </c>
      <c r="AR10" s="120">
        <f t="shared" si="21"/>
        <v>2820054.9194958336</v>
      </c>
      <c r="AS10" s="120">
        <f t="shared" si="21"/>
        <v>2820054.9194958336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794"/>
      <c r="B11" s="121" t="s">
        <v>531</v>
      </c>
      <c r="C11" s="122">
        <f>'Revenue Tracking'!F5</f>
        <v>2684846.6775000002</v>
      </c>
      <c r="D11" s="122">
        <f>SUM(F11:KF11)</f>
        <v>2677596.6775000007</v>
      </c>
      <c r="E11" s="106"/>
      <c r="F11" s="123">
        <f>SUMIFS('Expenditure Breakdown'!$Q$6:$Q$193, 'Expenditure Breakdown'!$W$6:$W$193, "&gt;="&amp;F1,'Expenditure Breakdown'!$W$6:$W$193, "&lt;"&amp;G1)</f>
        <v>0</v>
      </c>
      <c r="G11" s="123">
        <f>SUMIFS('Expenditure Breakdown'!$Q$6:$Q$193, 'Expenditure Breakdown'!$W$6:$W$193, "&gt;="&amp;G1,'Expenditure Breakdown'!$W$6:$W$193, "&lt;"&amp;H1)</f>
        <v>0</v>
      </c>
      <c r="H11" s="123">
        <f>SUMIFS('Expenditure Breakdown'!$Q$6:$Q$193, 'Expenditure Breakdown'!$W$6:$W$193, "&gt;="&amp;H1,'Expenditure Breakdown'!$W$6:$W$193, "&lt;"&amp;I1)</f>
        <v>0</v>
      </c>
      <c r="I11" s="123">
        <f>SUMIFS('Expenditure Breakdown'!$Q$6:$Q$193, 'Expenditure Breakdown'!$W$6:$W$193, "&gt;="&amp;I1,'Expenditure Breakdown'!$W$6:$W$193, "&lt;"&amp;J1)</f>
        <v>0</v>
      </c>
      <c r="J11" s="123">
        <f>SUMIFS('Expenditure Breakdown'!$Q$6:$Q$193, 'Expenditure Breakdown'!$W$6:$W$193, "&gt;="&amp;J1,'Expenditure Breakdown'!$W$6:$W$193, "&lt;"&amp;K1)</f>
        <v>0</v>
      </c>
      <c r="K11" s="123">
        <f>SUMIFS('Expenditure Breakdown'!$Q$6:$Q$193, 'Expenditure Breakdown'!$W$6:$W$193, "&gt;="&amp;K1,'Expenditure Breakdown'!$W$6:$W$193, "&lt;"&amp;L1)</f>
        <v>0</v>
      </c>
      <c r="L11" s="123">
        <f>SUMIFS('Expenditure Breakdown'!$Q$6:$Q$193, 'Expenditure Breakdown'!$W$6:$W$193, "&gt;="&amp;L1,'Expenditure Breakdown'!$W$6:$W$193, "&lt;"&amp;M1)</f>
        <v>0</v>
      </c>
      <c r="M11" s="123">
        <f>SUMIFS('Expenditure Breakdown'!$Q$6:$Q$193, 'Expenditure Breakdown'!$W$6:$W$193, "&gt;="&amp;M1,'Expenditure Breakdown'!$W$6:$W$193, "&lt;"&amp;N1)</f>
        <v>6000</v>
      </c>
      <c r="N11" s="123">
        <f>SUMIFS('Expenditure Breakdown'!$Q$6:$Q$193, 'Expenditure Breakdown'!$W$6:$W$193, "&gt;="&amp;N1,'Expenditure Breakdown'!$W$6:$W$193, "&lt;"&amp;O1)</f>
        <v>112885.63800000002</v>
      </c>
      <c r="O11" s="123">
        <f>SUMIFS('Expenditure Breakdown'!$Q$6:$Q$193, 'Expenditure Breakdown'!$W$6:$W$193, "&gt;="&amp;O1,'Expenditure Breakdown'!$W$6:$W$193, "&lt;"&amp;P1)</f>
        <v>204164.66700000002</v>
      </c>
      <c r="P11" s="123">
        <f>SUMIFS('Expenditure Breakdown'!$Q$6:$Q$193, 'Expenditure Breakdown'!$W$6:$W$193, "&gt;="&amp;P1,'Expenditure Breakdown'!$W$6:$W$193, "&lt;"&amp;Q1)</f>
        <v>29867.095000000001</v>
      </c>
      <c r="Q11" s="123">
        <f>SUMIFS('Expenditure Breakdown'!$Q$6:$Q$193, 'Expenditure Breakdown'!$W$6:$W$193, "&gt;="&amp;Q1,'Expenditure Breakdown'!$W$6:$W$193, "&lt;"&amp;R1)</f>
        <v>70989.17</v>
      </c>
      <c r="R11" s="123">
        <f>SUMIFS('Expenditure Breakdown'!$Q$6:$Q$193, 'Expenditure Breakdown'!$W$6:$W$193, "&gt;="&amp;R1,'Expenditure Breakdown'!$W$6:$W$193, "&lt;"&amp;S1)</f>
        <v>79201</v>
      </c>
      <c r="S11" s="123">
        <f>SUMIFS('Expenditure Breakdown'!$Q$6:$Q$193, 'Expenditure Breakdown'!$W$6:$W$193, "&gt;="&amp;S1,'Expenditure Breakdown'!$W$6:$W$193, "&lt;"&amp;T1)</f>
        <v>273251.47500000003</v>
      </c>
      <c r="T11" s="123">
        <f>SUMIFS('Expenditure Breakdown'!$Q$6:$Q$193, 'Expenditure Breakdown'!$W$6:$W$193, "&gt;="&amp;T1,'Expenditure Breakdown'!$W$6:$W$193, "&lt;"&amp;U1)</f>
        <v>622205.6590000001</v>
      </c>
      <c r="U11" s="123">
        <f>SUMIFS('Expenditure Breakdown'!$Q$6:$Q$193, 'Expenditure Breakdown'!$W$6:$W$193, "&gt;="&amp;U1,'Expenditure Breakdown'!$W$6:$W$193, "&lt;"&amp;V1)</f>
        <v>18524.73</v>
      </c>
      <c r="V11" s="123">
        <f>SUMIFS('Expenditure Breakdown'!$Q$6:$Q$193, 'Expenditure Breakdown'!$W$6:$W$193, "&gt;="&amp;V1,'Expenditure Breakdown'!$W$6:$W$193, "&lt;"&amp;W1)</f>
        <v>877756.79800000018</v>
      </c>
      <c r="W11" s="123">
        <f>SUMIFS('Expenditure Breakdown'!$Q$6:$Q$193, 'Expenditure Breakdown'!$W$6:$W$193, "&gt;="&amp;W1,'Expenditure Breakdown'!$W$6:$W$193, "&lt;"&amp;X1)</f>
        <v>307.94</v>
      </c>
      <c r="X11" s="123">
        <f>SUMIFS('Expenditure Breakdown'!$Q$6:$Q$193, 'Expenditure Breakdown'!$W$6:$W$193, "&gt;="&amp;X1,'Expenditure Breakdown'!$W$6:$W$193, "&lt;"&amp;Y1)</f>
        <v>22773.54</v>
      </c>
      <c r="Y11" s="123">
        <f>SUMIFS('Expenditure Breakdown'!$Q$6:$Q$193, 'Expenditure Breakdown'!$W$6:$W$193, "&gt;="&amp;Y1,'Expenditure Breakdown'!$W$6:$W$193, "&lt;"&amp;Z1)</f>
        <v>75600</v>
      </c>
      <c r="Z11" s="123">
        <f>SUMIFS('Expenditure Breakdown'!$Q$6:$Q$193, 'Expenditure Breakdown'!$W$6:$W$193, "&gt;="&amp;Z1,'Expenditure Breakdown'!$W$6:$W$193, "&lt;"&amp;AA1)</f>
        <v>73287.5</v>
      </c>
      <c r="AA11" s="123">
        <f>SUMIFS('Expenditure Breakdown'!$Q$6:$Q$193, 'Expenditure Breakdown'!$W$6:$W$193, "&gt;="&amp;AA1,'Expenditure Breakdown'!$W$6:$W$193, "&lt;"&amp;AB1)</f>
        <v>7599.0040000000017</v>
      </c>
      <c r="AB11" s="123">
        <f>SUMIFS('Expenditure Breakdown'!$Q$6:$Q$193, 'Expenditure Breakdown'!$W$6:$W$193, "&gt;="&amp;AB1,'Expenditure Breakdown'!$W$6:$W$193, "&lt;"&amp;AC1)</f>
        <v>79884.25</v>
      </c>
      <c r="AC11" s="123">
        <f>SUMIFS('Expenditure Breakdown'!$Q$6:$Q$193, 'Expenditure Breakdown'!$W$6:$W$193, "&gt;="&amp;AC1,'Expenditure Breakdown'!$W$6:$W$193, "&lt;"&amp;AD1)</f>
        <v>30773</v>
      </c>
      <c r="AD11" s="123">
        <f>SUMIFS('Expenditure Breakdown'!$Q$6:$Q$193, 'Expenditure Breakdown'!$W$6:$W$193, "&gt;="&amp;AD1,'Expenditure Breakdown'!$W$6:$W$193, "&lt;"&amp;AE1)</f>
        <v>0</v>
      </c>
      <c r="AE11" s="123">
        <f>SUMIFS('Expenditure Breakdown'!$Q$6:$Q$193, 'Expenditure Breakdown'!$W$6:$W$193, "&gt;="&amp;AE1,'Expenditure Breakdown'!$W$6:$W$193, "&lt;"&amp;AF1)</f>
        <v>89025.211500000005</v>
      </c>
      <c r="AF11" s="123">
        <f>SUMIFS('Expenditure Breakdown'!$Q$6:$Q$193, 'Expenditure Breakdown'!$W$6:$W$193, "&gt;="&amp;AF1,'Expenditure Breakdown'!$W$6:$W$193, "&lt;"&amp;AG1)</f>
        <v>3500</v>
      </c>
      <c r="AG11" s="123">
        <f>SUMIFS('Expenditure Breakdown'!$Q$6:$Q$193, 'Expenditure Breakdown'!$W$6:$W$193, "&gt;="&amp;AG1,'Expenditure Breakdown'!$W$6:$W$193, "&lt;"&amp;AH1)</f>
        <v>0</v>
      </c>
      <c r="AH11" s="123">
        <f>SUMIFS('Expenditure Breakdown'!$Q$6:$Q$193, 'Expenditure Breakdown'!$W$6:$W$193, "&gt;="&amp;AH1,'Expenditure Breakdown'!$W$6:$W$193, "&lt;"&amp;AI1)</f>
        <v>0</v>
      </c>
      <c r="AI11" s="123">
        <f>SUMIFS('Expenditure Breakdown'!$Q$6:$Q$193, 'Expenditure Breakdown'!$W$6:$W$193, "&gt;="&amp;AI1,'Expenditure Breakdown'!$W$6:$W$193, "&lt;"&amp;AJ1)</f>
        <v>0</v>
      </c>
      <c r="AJ11" s="123">
        <f>SUMIFS('Expenditure Breakdown'!$Q$6:$Q$193, 'Expenditure Breakdown'!$W$6:$W$193, "&gt;="&amp;AJ1,'Expenditure Breakdown'!$W$6:$W$193, "&lt;"&amp;AK1)</f>
        <v>0</v>
      </c>
      <c r="AK11" s="123">
        <f>SUMIFS('Expenditure Breakdown'!$Q$6:$Q$193, 'Expenditure Breakdown'!$W$6:$W$193, "&gt;="&amp;AK1,'Expenditure Breakdown'!$W$6:$W$193, "&lt;"&amp;AL1)</f>
        <v>0</v>
      </c>
      <c r="AL11" s="123">
        <f>SUMIFS('Expenditure Breakdown'!$Q$6:$Q$193, 'Expenditure Breakdown'!$W$6:$W$193, "&gt;="&amp;AL1,'Expenditure Breakdown'!$W$6:$W$193, "&lt;"&amp;AM1)</f>
        <v>0</v>
      </c>
      <c r="AM11" s="123">
        <f>SUMIFS('Expenditure Breakdown'!$Q$6:$Q$193, 'Expenditure Breakdown'!$W$6:$W$193, "&gt;="&amp;AM1,'Expenditure Breakdown'!$W$6:$W$193, "&lt;"&amp;AN1)</f>
        <v>0</v>
      </c>
      <c r="AN11" s="123">
        <f>SUMIFS('Expenditure Breakdown'!$Q$6:$Q$193, 'Expenditure Breakdown'!$W$6:$W$193, "&gt;="&amp;AN1,'Expenditure Breakdown'!$W$6:$W$193, "&lt;"&amp;AO1)</f>
        <v>0</v>
      </c>
      <c r="AO11" s="123">
        <f>SUMIFS('Expenditure Breakdown'!$Q$6:$Q$193, 'Expenditure Breakdown'!$W$6:$W$193, "&gt;="&amp;AO1,'Expenditure Breakdown'!$W$6:$W$193, "&lt;"&amp;AP1)</f>
        <v>0</v>
      </c>
      <c r="AP11" s="123">
        <f>SUMIFS('Expenditure Breakdown'!$Q$6:$Q$193, 'Expenditure Breakdown'!$W$6:$W$193, "&gt;="&amp;AP1,'Expenditure Breakdown'!$W$6:$W$193, "&lt;"&amp;AQ1)</f>
        <v>0</v>
      </c>
      <c r="AQ11" s="123">
        <f>SUMIFS('Expenditure Breakdown'!$Q$6:$Q$193, 'Expenditure Breakdown'!$W$6:$W$193, "&gt;="&amp;AQ1,'Expenditure Breakdown'!$W$6:$W$193, "&lt;"&amp;AR1)</f>
        <v>0</v>
      </c>
      <c r="AR11" s="123">
        <f>SUMIFS('Expenditure Breakdown'!$Q$6:$Q$193, 'Expenditure Breakdown'!$W$6:$W$193, "&gt;="&amp;AR1,'Expenditure Breakdown'!$W$6:$W$193, "&lt;"&amp;AS1)</f>
        <v>0</v>
      </c>
      <c r="AS11" s="123">
        <f>SUMIFS('Expenditure Breakdown'!$Q$6:$Q$193, 'Expenditure Breakdown'!$W$6:$W$193, "&gt;="&amp;AS1,'Expenditure Breakdown'!$W$6:$W$193, "&lt;"&amp;AT1)</f>
        <v>0</v>
      </c>
      <c r="AT11" s="123">
        <f>SUMIFS('Expenditure Breakdown'!$Q$6:$Q$193, 'Expenditure Breakdown'!$W$6:$W$193, "&gt;="&amp;AT1,'Expenditure Breakdown'!$W$6:$W$193, "&lt;"&amp;AU1)</f>
        <v>0</v>
      </c>
      <c r="AU11" s="123">
        <f>SUMIFS('Expenditure Breakdown'!$Q$6:$Q$193, 'Expenditure Breakdown'!$W$6:$W$193, "&gt;="&amp;AU1,'Expenditure Breakdown'!$W$6:$W$193, "&lt;"&amp;AV1)</f>
        <v>0</v>
      </c>
      <c r="AV11" s="123">
        <f>SUMIFS('Expenditure Breakdown'!$Q$6:$Q$193, 'Expenditure Breakdown'!$W$6:$W$193, "&gt;="&amp;AV1,'Expenditure Breakdown'!$W$6:$W$193, "&lt;"&amp;AW1)</f>
        <v>0</v>
      </c>
      <c r="AW11" s="123">
        <f>SUMIFS('Expenditure Breakdown'!$Q$6:$Q$193, 'Expenditure Breakdown'!$W$6:$W$193, "&gt;="&amp;AW1,'Expenditure Breakdown'!$W$6:$W$193, "&lt;"&amp;AX1)</f>
        <v>0</v>
      </c>
      <c r="AX11" s="123">
        <f>SUMIFS('Expenditure Breakdown'!$Q$6:$Q$193, 'Expenditure Breakdown'!$W$6:$W$193, "&gt;="&amp;AX1,'Expenditure Breakdown'!$W$6:$W$193, "&lt;"&amp;AY1)</f>
        <v>0</v>
      </c>
      <c r="AY11" s="123">
        <f>SUMIFS('Expenditure Breakdown'!$Q$6:$Q$193, 'Expenditure Breakdown'!$W$6:$W$193, "&gt;="&amp;AY1,'Expenditure Breakdown'!$W$6:$W$193, "&lt;"&amp;AZ1)</f>
        <v>0</v>
      </c>
      <c r="AZ11" s="123">
        <f>SUMIFS('Expenditure Breakdown'!$Q$6:$Q$193, 'Expenditure Breakdown'!$W$6:$W$193, "&gt;="&amp;AZ1,'Expenditure Breakdown'!$W$6:$W$193, "&lt;"&amp;BA1)</f>
        <v>0</v>
      </c>
      <c r="BA11" s="123">
        <f>SUMIFS('Expenditure Breakdown'!$Q$6:$Q$193, 'Expenditure Breakdown'!$W$6:$W$193, "&gt;="&amp;BA1,'Expenditure Breakdown'!$W$6:$W$193, "&lt;"&amp;BB1)</f>
        <v>0</v>
      </c>
      <c r="BB11" s="123">
        <f>SUMIFS('Expenditure Breakdown'!$Q$6:$Q$193, 'Expenditure Breakdown'!$W$6:$W$193, "&gt;="&amp;BB1,'Expenditure Breakdown'!$W$6:$W$193, "&lt;"&amp;BC1)</f>
        <v>0</v>
      </c>
      <c r="BC11" s="123">
        <f>SUMIFS('Expenditure Breakdown'!$Q$6:$Q$193, 'Expenditure Breakdown'!$W$6:$W$193, "&gt;="&amp;BC1,'Expenditure Breakdown'!$W$6:$W$193, "&lt;"&amp;BD1)</f>
        <v>0</v>
      </c>
      <c r="BD11" s="123">
        <f>SUMIFS('Expenditure Breakdown'!$Q$6:$Q$193, 'Expenditure Breakdown'!$W$6:$W$193, "&gt;="&amp;BD1,'Expenditure Breakdown'!$W$6:$W$193, "&lt;"&amp;BE1)</f>
        <v>0</v>
      </c>
      <c r="BE11" s="123">
        <f>SUMIFS('Expenditure Breakdown'!$Q$6:$Q$193, 'Expenditure Breakdown'!$W$6:$W$193, "&gt;="&amp;BE1,'Expenditure Breakdown'!$W$6:$W$193, "&lt;"&amp;BF1)</f>
        <v>0</v>
      </c>
      <c r="BF11" s="123">
        <f>SUMIFS('Expenditure Breakdown'!$Q$6:$Q$193, 'Expenditure Breakdown'!$W$6:$W$193, "&gt;="&amp;BF1,'Expenditure Breakdown'!$W$6:$W$193, "&lt;"&amp;BG1)</f>
        <v>0</v>
      </c>
      <c r="BG11" s="123">
        <f>SUMIFS('Expenditure Breakdown'!$Q$6:$Q$193, 'Expenditure Breakdown'!$W$6:$W$193, "&gt;="&amp;BG1,'Expenditure Breakdown'!$W$6:$W$193, "&lt;"&amp;BH1)</f>
        <v>0</v>
      </c>
      <c r="BH11" s="123">
        <f>SUMIFS('Expenditure Breakdown'!$Q$6:$Q$193, 'Expenditure Breakdown'!$W$6:$W$193, "&gt;="&amp;BH1,'Expenditure Breakdown'!$W$6:$W$193, "&lt;"&amp;BI1)</f>
        <v>0</v>
      </c>
      <c r="BI11" s="123">
        <f>SUMIFS('Expenditure Breakdown'!$Q$6:$Q$193, 'Expenditure Breakdown'!$W$6:$W$193, "&gt;="&amp;BI1,'Expenditure Breakdown'!$W$6:$W$193, "&lt;"&amp;BJ1)</f>
        <v>0</v>
      </c>
      <c r="BJ11" s="123">
        <f>SUMIFS('Expenditure Breakdown'!$Q$6:$Q$193, 'Expenditure Breakdown'!$W$6:$W$193, "&gt;="&amp;BJ1,'Expenditure Breakdown'!$W$6:$W$193, "&lt;"&amp;BK1)</f>
        <v>0</v>
      </c>
      <c r="BK11" s="123">
        <f>SUMIFS('Expenditure Breakdown'!$Q$6:$Q$193, 'Expenditure Breakdown'!$W$6:$W$193, "&gt;="&amp;BK1,'Expenditure Breakdown'!$W$6:$W$193, "&lt;"&amp;BL1)</f>
        <v>0</v>
      </c>
      <c r="BL11" s="123">
        <f>SUMIFS('Expenditure Breakdown'!$Q$6:$Q$193, 'Expenditure Breakdown'!$W$6:$W$193, "&gt;="&amp;BL1,'Expenditure Breakdown'!$W$6:$W$193, "&lt;"&amp;BM1)</f>
        <v>0</v>
      </c>
      <c r="BM11" s="123">
        <f>SUMIFS('Expenditure Breakdown'!$Q$6:$Q$193, 'Expenditure Breakdown'!$W$6:$W$193, "&gt;="&amp;BM1,'Expenditure Breakdown'!$W$6:$W$193, "&lt;"&amp;BN1)</f>
        <v>0</v>
      </c>
      <c r="BN11" s="123">
        <f>SUMIFS('Expenditure Breakdown'!$Q$6:$Q$193, 'Expenditure Breakdown'!$W$6:$W$193, "&gt;="&amp;BN1,'Expenditure Breakdown'!$W$6:$W$193, "&lt;"&amp;BO1)</f>
        <v>0</v>
      </c>
      <c r="BO11" s="123">
        <f>SUMIFS('Expenditure Breakdown'!$Q$6:$Q$193, 'Expenditure Breakdown'!$W$6:$W$193, "&gt;="&amp;BO1,'Expenditure Breakdown'!$W$6:$W$193, "&lt;"&amp;BP1)</f>
        <v>0</v>
      </c>
      <c r="BP11" s="123">
        <f>SUMIFS('Expenditure Breakdown'!$Q$6:$Q$193, 'Expenditure Breakdown'!$W$6:$W$193, "&gt;="&amp;BP1,'Expenditure Breakdown'!$W$6:$W$193, "&lt;"&amp;BQ1)</f>
        <v>0</v>
      </c>
      <c r="BQ11" s="123">
        <f>SUMIFS('Expenditure Breakdown'!$Q$6:$Q$193, 'Expenditure Breakdown'!$W$6:$W$193, "&gt;="&amp;BQ1,'Expenditure Breakdown'!$W$6:$W$193, "&lt;"&amp;BR1)</f>
        <v>0</v>
      </c>
      <c r="BR11" s="123">
        <f>SUMIFS('Expenditure Breakdown'!$Q$6:$Q$193, 'Expenditure Breakdown'!$W$6:$W$193, "&gt;="&amp;BR1,'Expenditure Breakdown'!$W$6:$W$193, "&lt;"&amp;BS1)</f>
        <v>0</v>
      </c>
      <c r="BS11" s="123">
        <f>SUMIFS('Expenditure Breakdown'!$Q$6:$Q$193, 'Expenditure Breakdown'!$W$6:$W$193, "&gt;="&amp;BS1,'Expenditure Breakdown'!$W$6:$W$193, "&lt;"&amp;BT1)</f>
        <v>0</v>
      </c>
      <c r="BT11" s="123">
        <f>SUMIFS('Expenditure Breakdown'!$Q$6:$Q$193, 'Expenditure Breakdown'!$W$6:$W$193, "&gt;="&amp;BT1,'Expenditure Breakdown'!$W$6:$W$193, "&lt;"&amp;BU1)</f>
        <v>0</v>
      </c>
      <c r="BU11" s="123">
        <f>SUMIFS('Expenditure Breakdown'!$Q$6:$Q$193, 'Expenditure Breakdown'!$W$6:$W$193, "&gt;="&amp;BU1,'Expenditure Breakdown'!$W$6:$W$193, "&lt;"&amp;BV1)</f>
        <v>0</v>
      </c>
      <c r="BV11" s="123">
        <f>SUMIFS('Expenditure Breakdown'!$Q$6:$Q$193, 'Expenditure Breakdown'!$W$6:$W$193, "&gt;="&amp;BV1,'Expenditure Breakdown'!$W$6:$W$193, "&lt;"&amp;BW1)</f>
        <v>0</v>
      </c>
      <c r="BW11" s="123">
        <f>SUMIFS('Expenditure Breakdown'!$Q$6:$Q$193, 'Expenditure Breakdown'!$W$6:$W$193, "&gt;="&amp;BW1,'Expenditure Breakdown'!$W$6:$W$193, "&lt;"&amp;BX1)</f>
        <v>0</v>
      </c>
      <c r="BX11" s="123">
        <f>SUMIFS('Expenditure Breakdown'!$Q$6:$Q$193, 'Expenditure Breakdown'!$W$6:$W$193, "&gt;="&amp;BX1,'Expenditure Breakdown'!$W$6:$W$193, "&lt;"&amp;BY1)</f>
        <v>0</v>
      </c>
      <c r="BY11" s="123">
        <f>SUMIFS('Expenditure Breakdown'!$Q$6:$Q$193, 'Expenditure Breakdown'!$W$6:$W$193, "&gt;="&amp;BY1,'Expenditure Breakdown'!$W$6:$W$193, "&lt;"&amp;BZ1)</f>
        <v>0</v>
      </c>
      <c r="BZ11" s="123">
        <f>SUMIFS('Expenditure Breakdown'!$Q$6:$Q$193, 'Expenditure Breakdown'!$W$6:$W$193, "&gt;="&amp;BZ1,'Expenditure Breakdown'!$W$6:$W$193, "&lt;"&amp;CA1)</f>
        <v>0</v>
      </c>
      <c r="CA11" s="123">
        <f>SUMIFS('Expenditure Breakdown'!$Q$6:$Q$193, 'Expenditure Breakdown'!$W$6:$W$193, "&gt;="&amp;CA1,'Expenditure Breakdown'!$W$6:$W$193, "&lt;"&amp;CB1)</f>
        <v>0</v>
      </c>
      <c r="CB11" s="123">
        <f>SUMIFS('Expenditure Breakdown'!$Q$6:$Q$193, 'Expenditure Breakdown'!$W$6:$W$193, "&gt;="&amp;CB1,'Expenditure Breakdown'!$W$6:$W$193, "&lt;"&amp;CC1)</f>
        <v>0</v>
      </c>
      <c r="CC11" s="123">
        <f>SUMIFS('Expenditure Breakdown'!$Q$6:$Q$193, 'Expenditure Breakdown'!$W$6:$W$193, "&gt;="&amp;CC1,'Expenditure Breakdown'!$W$6:$W$193, "&lt;"&amp;CD1)</f>
        <v>0</v>
      </c>
      <c r="CD11" s="123">
        <f>SUMIFS('Expenditure Breakdown'!$Q$6:$Q$193, 'Expenditure Breakdown'!$W$6:$W$193, "&gt;="&amp;CD1,'Expenditure Breakdown'!$W$6:$W$193, "&lt;"&amp;CE1)</f>
        <v>0</v>
      </c>
      <c r="CE11" s="123">
        <f>SUMIFS('Expenditure Breakdown'!$Q$6:$Q$193, 'Expenditure Breakdown'!$W$6:$W$193, "&gt;="&amp;CE1,'Expenditure Breakdown'!$W$6:$W$193, "&lt;"&amp;CF1)</f>
        <v>0</v>
      </c>
      <c r="CF11" s="123">
        <f>SUMIFS('Expenditure Breakdown'!$Q$6:$Q$193, 'Expenditure Breakdown'!$W$6:$W$193, "&gt;="&amp;CF1,'Expenditure Breakdown'!$W$6:$W$193, "&lt;"&amp;CG1)</f>
        <v>0</v>
      </c>
      <c r="CG11" s="123">
        <f>SUMIFS('Expenditure Breakdown'!$Q$6:$Q$193, 'Expenditure Breakdown'!$W$6:$W$193, "&gt;="&amp;CG1,'Expenditure Breakdown'!$W$6:$W$193, "&lt;"&amp;CH1)</f>
        <v>0</v>
      </c>
      <c r="CH11" s="123">
        <f>SUMIFS('Expenditure Breakdown'!$Q$6:$Q$193, 'Expenditure Breakdown'!$W$6:$W$193, "&gt;="&amp;CH1,'Expenditure Breakdown'!$W$6:$W$193, "&lt;"&amp;CI1)</f>
        <v>0</v>
      </c>
      <c r="CI11" s="123">
        <f>SUMIFS('Expenditure Breakdown'!$Q$6:$Q$193, 'Expenditure Breakdown'!$W$6:$W$193, "&gt;="&amp;CI1,'Expenditure Breakdown'!$W$6:$W$193, "&lt;"&amp;CJ1)</f>
        <v>0</v>
      </c>
      <c r="CJ11" s="123">
        <f>SUMIFS('Expenditure Breakdown'!$Q$6:$Q$193, 'Expenditure Breakdown'!$W$6:$W$193, "&gt;="&amp;CJ1,'Expenditure Breakdown'!$W$6:$W$193, "&lt;"&amp;CK1)</f>
        <v>0</v>
      </c>
      <c r="CK11" s="123">
        <f>SUMIFS('Expenditure Breakdown'!$Q$6:$Q$193, 'Expenditure Breakdown'!$W$6:$W$193, "&gt;="&amp;CK1,'Expenditure Breakdown'!$W$6:$W$193, "&lt;"&amp;CL1)</f>
        <v>0</v>
      </c>
      <c r="CL11" s="123">
        <f>SUMIFS('Expenditure Breakdown'!$Q$6:$Q$193, 'Expenditure Breakdown'!$W$6:$W$193, "&gt;="&amp;CL1,'Expenditure Breakdown'!$W$6:$W$193, "&lt;"&amp;CM1)</f>
        <v>0</v>
      </c>
      <c r="CM11" s="123">
        <f>SUMIFS('Expenditure Breakdown'!$Q$6:$Q$193, 'Expenditure Breakdown'!$W$6:$W$193, "&gt;="&amp;CM1,'Expenditure Breakdown'!$W$6:$W$193, "&lt;"&amp;CN1)</f>
        <v>0</v>
      </c>
      <c r="CN11" s="123">
        <f>SUMIFS('Expenditure Breakdown'!$Q$6:$Q$193, 'Expenditure Breakdown'!$W$6:$W$193, "&gt;="&amp;CN1,'Expenditure Breakdown'!$W$6:$W$193, "&lt;"&amp;CO1)</f>
        <v>0</v>
      </c>
      <c r="CO11" s="123">
        <f>SUMIFS('Expenditure Breakdown'!$Q$6:$Q$193, 'Expenditure Breakdown'!$W$6:$W$193, "&gt;="&amp;CO1,'Expenditure Breakdown'!$W$6:$W$193, "&lt;"&amp;CP1)</f>
        <v>0</v>
      </c>
      <c r="CP11" s="123">
        <f>SUMIFS('Expenditure Breakdown'!$Q$6:$Q$193, 'Expenditure Breakdown'!$W$6:$W$193, "&gt;="&amp;CP1,'Expenditure Breakdown'!$W$6:$W$193, "&lt;"&amp;CQ1)</f>
        <v>0</v>
      </c>
      <c r="CQ11" s="123">
        <f>SUMIFS('Expenditure Breakdown'!$Q$6:$Q$193, 'Expenditure Breakdown'!$W$6:$W$193, "&gt;="&amp;CQ1,'Expenditure Breakdown'!$W$6:$W$193, "&lt;"&amp;CR1)</f>
        <v>0</v>
      </c>
      <c r="CR11" s="123">
        <f>SUMIFS('Expenditure Breakdown'!$Q$6:$Q$193, 'Expenditure Breakdown'!$W$6:$W$193, "&gt;="&amp;CR1,'Expenditure Breakdown'!$W$6:$W$193, "&lt;"&amp;CS1)</f>
        <v>0</v>
      </c>
      <c r="CS11" s="123">
        <f>SUMIFS('Expenditure Breakdown'!$Q$6:$Q$193, 'Expenditure Breakdown'!$W$6:$W$193, "&gt;="&amp;CS1,'Expenditure Breakdown'!$W$6:$W$193, "&lt;"&amp;CT1)</f>
        <v>0</v>
      </c>
      <c r="CT11" s="123">
        <f>SUMIFS('Expenditure Breakdown'!$Q$6:$Q$193, 'Expenditure Breakdown'!$W$6:$W$193, "&gt;="&amp;CT1,'Expenditure Breakdown'!$W$6:$W$193, "&lt;"&amp;CU1)</f>
        <v>0</v>
      </c>
      <c r="CU11" s="123">
        <f>SUMIFS('Expenditure Breakdown'!$Q$6:$Q$193, 'Expenditure Breakdown'!$W$6:$W$193, "&gt;="&amp;CU1,'Expenditure Breakdown'!$W$6:$W$193, "&lt;"&amp;CV1)</f>
        <v>0</v>
      </c>
      <c r="CV11" s="123">
        <f>SUMIFS('Expenditure Breakdown'!$Q$6:$Q$193, 'Expenditure Breakdown'!$W$6:$W$193, "&gt;="&amp;CV1,'Expenditure Breakdown'!$W$6:$W$193, "&lt;"&amp;CW1)</f>
        <v>0</v>
      </c>
      <c r="CW11" s="123">
        <f>SUMIFS('Expenditure Breakdown'!$Q$6:$Q$193, 'Expenditure Breakdown'!$W$6:$W$193, "&gt;="&amp;CW1,'Expenditure Breakdown'!$W$6:$W$193, "&lt;"&amp;CX1)</f>
        <v>0</v>
      </c>
      <c r="CX11" s="123">
        <f>SUMIFS('Expenditure Breakdown'!$Q$6:$Q$193, 'Expenditure Breakdown'!$W$6:$W$193, "&gt;="&amp;CX1,'Expenditure Breakdown'!$W$6:$W$193, "&lt;"&amp;CY1)</f>
        <v>0</v>
      </c>
      <c r="CY11" s="123">
        <f>SUMIFS('Expenditure Breakdown'!$Q$6:$Q$193, 'Expenditure Breakdown'!$W$6:$W$193, "&gt;="&amp;CY1,'Expenditure Breakdown'!$W$6:$W$193, "&lt;"&amp;CZ1)</f>
        <v>0</v>
      </c>
      <c r="CZ11" s="123">
        <f>SUMIFS('Expenditure Breakdown'!$Q$6:$Q$193, 'Expenditure Breakdown'!$W$6:$W$193, "&gt;="&amp;CZ1,'Expenditure Breakdown'!$W$6:$W$193, "&lt;"&amp;DA1)</f>
        <v>0</v>
      </c>
      <c r="DA11" s="123">
        <f>SUMIFS('Expenditure Breakdown'!$Q$6:$Q$193, 'Expenditure Breakdown'!$W$6:$W$193, "&gt;="&amp;DA1,'Expenditure Breakdown'!$W$6:$W$193, "&lt;"&amp;DB1)</f>
        <v>0</v>
      </c>
      <c r="DB11" s="123">
        <f>SUMIFS('Expenditure Breakdown'!$Q$6:$Q$193, 'Expenditure Breakdown'!$W$6:$W$193, "&gt;="&amp;DB1,'Expenditure Breakdown'!$W$6:$W$193, "&lt;"&amp;DC1)</f>
        <v>0</v>
      </c>
      <c r="DC11" s="123">
        <f>SUMIFS('Expenditure Breakdown'!$Q$6:$Q$193, 'Expenditure Breakdown'!$W$6:$W$193, "&gt;="&amp;DC1,'Expenditure Breakdown'!$W$6:$W$193, "&lt;"&amp;DD1)</f>
        <v>0</v>
      </c>
      <c r="DD11" s="123">
        <f>SUMIFS('Expenditure Breakdown'!$Q$6:$Q$193, 'Expenditure Breakdown'!$W$6:$W$193, "&gt;="&amp;DD1,'Expenditure Breakdown'!$W$6:$W$193, "&lt;"&amp;DE1)</f>
        <v>0</v>
      </c>
      <c r="DE11" s="123">
        <f>SUMIFS('Expenditure Breakdown'!$Q$6:$Q$193, 'Expenditure Breakdown'!$W$6:$W$193, "&gt;="&amp;DE1,'Expenditure Breakdown'!$W$6:$W$193, "&lt;"&amp;DF1)</f>
        <v>0</v>
      </c>
      <c r="DF11" s="123">
        <f>SUMIFS('Expenditure Breakdown'!$Q$6:$Q$193, 'Expenditure Breakdown'!$W$6:$W$193, "&gt;="&amp;DF1,'Expenditure Breakdown'!$W$6:$W$193, "&lt;"&amp;DG1)</f>
        <v>0</v>
      </c>
      <c r="DG11" s="123">
        <f>SUMIFS('Expenditure Breakdown'!$Q$6:$Q$193, 'Expenditure Breakdown'!$W$6:$W$193, "&gt;="&amp;DG1,'Expenditure Breakdown'!$W$6:$W$193, "&lt;"&amp;DH1)</f>
        <v>0</v>
      </c>
      <c r="DH11" s="123">
        <f>SUMIFS('Expenditure Breakdown'!$Q$6:$Q$193, 'Expenditure Breakdown'!$W$6:$W$193, "&gt;="&amp;DH1,'Expenditure Breakdown'!$W$6:$W$193, "&lt;"&amp;DI1)</f>
        <v>0</v>
      </c>
      <c r="DI11" s="123">
        <f>SUMIFS('Expenditure Breakdown'!$Q$6:$Q$193, 'Expenditure Breakdown'!$W$6:$W$193, "&gt;="&amp;DI1,'Expenditure Breakdown'!$W$6:$W$193, "&lt;"&amp;DJ1)</f>
        <v>0</v>
      </c>
      <c r="DJ11" s="123">
        <f>SUMIFS('Expenditure Breakdown'!$Q$6:$Q$193, 'Expenditure Breakdown'!$W$6:$W$193, "&gt;="&amp;DJ1,'Expenditure Breakdown'!$W$6:$W$193, "&lt;"&amp;DK1)</f>
        <v>0</v>
      </c>
      <c r="DK11" s="123">
        <f>SUMIFS('Expenditure Breakdown'!$Q$6:$Q$193, 'Expenditure Breakdown'!$W$6:$W$193, "&gt;="&amp;DK1,'Expenditure Breakdown'!$W$6:$W$193, "&lt;"&amp;DL1)</f>
        <v>0</v>
      </c>
      <c r="DL11" s="123">
        <f>SUMIFS('Expenditure Breakdown'!$Q$6:$Q$193, 'Expenditure Breakdown'!$W$6:$W$193, "&gt;="&amp;DL1,'Expenditure Breakdown'!$W$6:$W$193, "&lt;"&amp;DM1)</f>
        <v>0</v>
      </c>
      <c r="DM11" s="123">
        <f>SUMIFS('Expenditure Breakdown'!$Q$6:$Q$193, 'Expenditure Breakdown'!$W$6:$W$193, "&gt;="&amp;DM1,'Expenditure Breakdown'!$W$6:$W$193, "&lt;"&amp;DN1)</f>
        <v>0</v>
      </c>
      <c r="DN11" s="123">
        <f>SUMIFS('Expenditure Breakdown'!$Q$6:$Q$193, 'Expenditure Breakdown'!$W$6:$W$193, "&gt;="&amp;DN1,'Expenditure Breakdown'!$W$6:$W$193, "&lt;"&amp;DO1)</f>
        <v>0</v>
      </c>
      <c r="DO11" s="123">
        <f>SUMIFS('Expenditure Breakdown'!$Q$6:$Q$193, 'Expenditure Breakdown'!$W$6:$W$193, "&gt;="&amp;DO1,'Expenditure Breakdown'!$W$6:$W$193, "&lt;"&amp;DP1)</f>
        <v>0</v>
      </c>
      <c r="DP11" s="123">
        <f>SUMIFS('Expenditure Breakdown'!$Q$6:$Q$193, 'Expenditure Breakdown'!$W$6:$W$193, "&gt;="&amp;DP1,'Expenditure Breakdown'!$W$6:$W$193, "&lt;"&amp;DQ1)</f>
        <v>0</v>
      </c>
      <c r="DQ11" s="123">
        <f>SUMIFS('Expenditure Breakdown'!$Q$6:$Q$193, 'Expenditure Breakdown'!$W$6:$W$193, "&gt;="&amp;DQ1,'Expenditure Breakdown'!$W$6:$W$193, "&lt;"&amp;DR1)</f>
        <v>0</v>
      </c>
      <c r="DR11" s="123">
        <f>SUMIFS('Expenditure Breakdown'!$Q$6:$Q$193, 'Expenditure Breakdown'!$W$6:$W$193, "&gt;="&amp;DR1,'Expenditure Breakdown'!$W$6:$W$193, "&lt;"&amp;DS1)</f>
        <v>0</v>
      </c>
      <c r="DS11" s="123">
        <f>SUMIFS('Expenditure Breakdown'!$Q$6:$Q$193, 'Expenditure Breakdown'!$W$6:$W$193, "&gt;="&amp;DS1,'Expenditure Breakdown'!$W$6:$W$193, "&lt;"&amp;DT1)</f>
        <v>0</v>
      </c>
      <c r="DT11" s="123">
        <f>SUMIFS('Expenditure Breakdown'!$Q$6:$Q$193, 'Expenditure Breakdown'!$W$6:$W$193, "&gt;="&amp;DT1,'Expenditure Breakdown'!$W$6:$W$193, "&lt;"&amp;DU1)</f>
        <v>0</v>
      </c>
      <c r="DU11" s="123">
        <f>SUMIFS('Expenditure Breakdown'!$Q$6:$Q$193, 'Expenditure Breakdown'!$W$6:$W$193, "&gt;="&amp;DU1,'Expenditure Breakdown'!$W$6:$W$193, "&lt;"&amp;DV1)</f>
        <v>0</v>
      </c>
      <c r="DV11" s="123">
        <f>SUMIFS('Expenditure Breakdown'!$Q$6:$Q$193, 'Expenditure Breakdown'!$W$6:$W$193, "&gt;="&amp;DV1,'Expenditure Breakdown'!$W$6:$W$193, "&lt;"&amp;DW1)</f>
        <v>0</v>
      </c>
      <c r="DW11" s="123">
        <f>SUMIFS('Expenditure Breakdown'!$Q$6:$Q$193, 'Expenditure Breakdown'!$W$6:$W$193, "&gt;="&amp;DW1,'Expenditure Breakdown'!$W$6:$W$193, "&lt;"&amp;DX1)</f>
        <v>0</v>
      </c>
      <c r="DX11" s="123">
        <f>SUMIFS('Expenditure Breakdown'!$Q$6:$Q$193, 'Expenditure Breakdown'!$W$6:$W$193, "&gt;="&amp;DX1,'Expenditure Breakdown'!$W$6:$W$193, "&lt;"&amp;DY1)</f>
        <v>0</v>
      </c>
      <c r="DY11" s="123">
        <f>SUMIFS('Expenditure Breakdown'!$Q$6:$Q$193, 'Expenditure Breakdown'!$W$6:$W$193, "&gt;="&amp;DY1,'Expenditure Breakdown'!$W$6:$W$193, "&lt;"&amp;DZ1)</f>
        <v>0</v>
      </c>
      <c r="DZ11" s="123">
        <f>SUMIFS('Expenditure Breakdown'!$Q$6:$Q$193, 'Expenditure Breakdown'!$W$6:$W$193, "&gt;="&amp;DZ1,'Expenditure Breakdown'!$W$6:$W$193, "&lt;"&amp;EA1)</f>
        <v>0</v>
      </c>
      <c r="EA11" s="123">
        <f>SUMIFS('Expenditure Breakdown'!$Q$6:$Q$193, 'Expenditure Breakdown'!$W$6:$W$193, "&gt;="&amp;EA1,'Expenditure Breakdown'!$W$6:$W$193, "&lt;"&amp;EB1)</f>
        <v>0</v>
      </c>
      <c r="EB11" s="123">
        <f>SUMIFS('Expenditure Breakdown'!$Q$6:$Q$193, 'Expenditure Breakdown'!$W$6:$W$193, "&gt;="&amp;EB1,'Expenditure Breakdown'!$W$6:$W$193, "&lt;"&amp;EC1)</f>
        <v>0</v>
      </c>
      <c r="EC11" s="123">
        <f>SUMIFS('Expenditure Breakdown'!$Q$6:$Q$193, 'Expenditure Breakdown'!$W$6:$W$193, "&gt;="&amp;EC1,'Expenditure Breakdown'!$W$6:$W$193, "&lt;"&amp;ED1)</f>
        <v>0</v>
      </c>
      <c r="ED11" s="123">
        <f>SUMIFS('Expenditure Breakdown'!$Q$6:$Q$193, 'Expenditure Breakdown'!$W$6:$W$193, "&gt;="&amp;ED1,'Expenditure Breakdown'!$W$6:$W$193, "&lt;"&amp;EE1)</f>
        <v>0</v>
      </c>
      <c r="EE11" s="123">
        <f>SUMIFS('Expenditure Breakdown'!$Q$6:$Q$193, 'Expenditure Breakdown'!$W$6:$W$193, "&gt;="&amp;EE1,'Expenditure Breakdown'!$W$6:$W$193, "&lt;"&amp;EF1)</f>
        <v>0</v>
      </c>
      <c r="EF11" s="123">
        <f>SUMIFS('Expenditure Breakdown'!$Q$6:$Q$193, 'Expenditure Breakdown'!$W$6:$W$193, "&gt;="&amp;EF1,'Expenditure Breakdown'!$W$6:$W$193, "&lt;"&amp;EG1)</f>
        <v>0</v>
      </c>
      <c r="EG11" s="123">
        <f>SUMIFS('Expenditure Breakdown'!$Q$6:$Q$193, 'Expenditure Breakdown'!$W$6:$W$193, "&gt;="&amp;EG1,'Expenditure Breakdown'!$W$6:$W$193, "&lt;"&amp;EH1)</f>
        <v>0</v>
      </c>
      <c r="EH11" s="123">
        <f>SUMIFS('Expenditure Breakdown'!$Q$6:$Q$193, 'Expenditure Breakdown'!$W$6:$W$193, "&gt;="&amp;EH1,'Expenditure Breakdown'!$W$6:$W$193, "&lt;"&amp;EI1)</f>
        <v>0</v>
      </c>
      <c r="EI11" s="123">
        <f>SUMIFS('Expenditure Breakdown'!$Q$6:$Q$193, 'Expenditure Breakdown'!$W$6:$W$193, "&gt;="&amp;EI1,'Expenditure Breakdown'!$W$6:$W$193, "&lt;"&amp;EJ1)</f>
        <v>0</v>
      </c>
      <c r="EJ11" s="123">
        <f>SUMIFS('Expenditure Breakdown'!$Q$6:$Q$193, 'Expenditure Breakdown'!$W$6:$W$193, "&gt;="&amp;EJ1,'Expenditure Breakdown'!$W$6:$W$193, "&lt;"&amp;EK1)</f>
        <v>0</v>
      </c>
      <c r="EK11" s="123">
        <f>SUMIFS('Expenditure Breakdown'!$Q$6:$Q$193, 'Expenditure Breakdown'!$W$6:$W$193, "&gt;="&amp;EK1,'Expenditure Breakdown'!$W$6:$W$193, "&lt;"&amp;EL1)</f>
        <v>0</v>
      </c>
      <c r="EL11" s="123">
        <f>SUMIFS('Expenditure Breakdown'!$Q$6:$Q$193, 'Expenditure Breakdown'!$W$6:$W$193, "&gt;="&amp;EL1,'Expenditure Breakdown'!$W$6:$W$193, "&lt;"&amp;EM1)</f>
        <v>0</v>
      </c>
      <c r="EM11" s="123">
        <f>SUMIFS('Expenditure Breakdown'!$Q$6:$Q$193, 'Expenditure Breakdown'!$W$6:$W$193, "&gt;="&amp;EM1,'Expenditure Breakdown'!$W$6:$W$193, "&lt;"&amp;EN1)</f>
        <v>0</v>
      </c>
      <c r="EN11" s="123">
        <f>SUMIFS('Expenditure Breakdown'!$Q$6:$Q$193, 'Expenditure Breakdown'!$W$6:$W$193, "&gt;="&amp;EN1,'Expenditure Breakdown'!$W$6:$W$193, "&lt;"&amp;EO1)</f>
        <v>0</v>
      </c>
      <c r="EO11" s="123">
        <f>SUMIFS('Expenditure Breakdown'!$Q$6:$Q$193, 'Expenditure Breakdown'!$W$6:$W$193, "&gt;="&amp;EO1,'Expenditure Breakdown'!$W$6:$W$193, "&lt;"&amp;EP1)</f>
        <v>0</v>
      </c>
      <c r="EP11" s="123">
        <f>SUMIFS('Expenditure Breakdown'!$Q$6:$Q$193, 'Expenditure Breakdown'!$W$6:$W$193, "&gt;="&amp;EP1,'Expenditure Breakdown'!$W$6:$W$193, "&lt;"&amp;EQ1)</f>
        <v>0</v>
      </c>
      <c r="EQ11" s="123">
        <f>SUMIFS('Expenditure Breakdown'!$Q$6:$Q$193, 'Expenditure Breakdown'!$W$6:$W$193, "&gt;="&amp;EQ1,'Expenditure Breakdown'!$W$6:$W$193, "&lt;"&amp;ER1)</f>
        <v>0</v>
      </c>
      <c r="ER11" s="123">
        <f>SUMIFS('Expenditure Breakdown'!$Q$6:$Q$193, 'Expenditure Breakdown'!$W$6:$W$193, "&gt;="&amp;ER1,'Expenditure Breakdown'!$W$6:$W$193, "&lt;"&amp;ES1)</f>
        <v>0</v>
      </c>
      <c r="ES11" s="123">
        <f>SUMIFS('Expenditure Breakdown'!$Q$6:$Q$193, 'Expenditure Breakdown'!$W$6:$W$193, "&gt;="&amp;ES1,'Expenditure Breakdown'!$W$6:$W$193, "&lt;"&amp;ET1)</f>
        <v>0</v>
      </c>
      <c r="ET11" s="123">
        <f>SUMIFS('Expenditure Breakdown'!$Q$6:$Q$193, 'Expenditure Breakdown'!$W$6:$W$193, "&gt;="&amp;ET1,'Expenditure Breakdown'!$W$6:$W$193, "&lt;"&amp;EU1)</f>
        <v>0</v>
      </c>
      <c r="EU11" s="123">
        <f>SUMIFS('Expenditure Breakdown'!$Q$6:$Q$193, 'Expenditure Breakdown'!$W$6:$W$193, "&gt;="&amp;EU1,'Expenditure Breakdown'!$W$6:$W$193, "&lt;"&amp;EV1)</f>
        <v>0</v>
      </c>
      <c r="EV11" s="123">
        <f>SUMIFS('Expenditure Breakdown'!$Q$6:$Q$193, 'Expenditure Breakdown'!$W$6:$W$193, "&gt;="&amp;EV1,'Expenditure Breakdown'!$W$6:$W$193, "&lt;"&amp;EW1)</f>
        <v>0</v>
      </c>
      <c r="EW11" s="123">
        <f>SUMIFS('Expenditure Breakdown'!$Q$6:$Q$193, 'Expenditure Breakdown'!$W$6:$W$193, "&gt;="&amp;EW1,'Expenditure Breakdown'!$W$6:$W$193, "&lt;"&amp;EX1)</f>
        <v>0</v>
      </c>
      <c r="EX11" s="123">
        <f>SUMIFS('Expenditure Breakdown'!$Q$6:$Q$193, 'Expenditure Breakdown'!$W$6:$W$193, "&gt;="&amp;EX1,'Expenditure Breakdown'!$W$6:$W$193, "&lt;"&amp;EY1)</f>
        <v>0</v>
      </c>
      <c r="EY11" s="123">
        <f>SUMIFS('Expenditure Breakdown'!$Q$6:$Q$193, 'Expenditure Breakdown'!$W$6:$W$193, "&gt;="&amp;EY1,'Expenditure Breakdown'!$W$6:$W$193, "&lt;"&amp;EZ1)</f>
        <v>0</v>
      </c>
      <c r="EZ11" s="123">
        <f>SUMIFS('Expenditure Breakdown'!$Q$6:$Q$193, 'Expenditure Breakdown'!$W$6:$W$193, "&gt;="&amp;EZ1,'Expenditure Breakdown'!$W$6:$W$193, "&lt;"&amp;FA1)</f>
        <v>0</v>
      </c>
      <c r="FA11" s="123">
        <f>SUMIFS('Expenditure Breakdown'!$Q$6:$Q$193, 'Expenditure Breakdown'!$W$6:$W$193, "&gt;="&amp;FA1,'Expenditure Breakdown'!$W$6:$W$193, "&lt;"&amp;FB1)</f>
        <v>0</v>
      </c>
      <c r="FB11" s="123">
        <f>SUMIFS('Expenditure Breakdown'!$Q$6:$Q$193, 'Expenditure Breakdown'!$W$6:$W$193, "&gt;="&amp;FB1,'Expenditure Breakdown'!$W$6:$W$193, "&lt;"&amp;FC1)</f>
        <v>0</v>
      </c>
      <c r="FC11" s="123">
        <f>SUMIFS('Expenditure Breakdown'!$Q$6:$Q$193, 'Expenditure Breakdown'!$W$6:$W$193, "&gt;="&amp;FC1,'Expenditure Breakdown'!$W$6:$W$193, "&lt;"&amp;FD1)</f>
        <v>0</v>
      </c>
      <c r="FD11" s="123">
        <f>SUMIFS('Expenditure Breakdown'!$Q$6:$Q$193, 'Expenditure Breakdown'!$W$6:$W$193, "&gt;="&amp;FD1,'Expenditure Breakdown'!$W$6:$W$193, "&lt;"&amp;FE1)</f>
        <v>0</v>
      </c>
      <c r="FE11" s="123">
        <f>SUMIFS('Expenditure Breakdown'!$Q$6:$Q$193, 'Expenditure Breakdown'!$W$6:$W$193, "&gt;="&amp;FE1,'Expenditure Breakdown'!$W$6:$W$193, "&lt;"&amp;FF1)</f>
        <v>0</v>
      </c>
      <c r="FF11" s="123">
        <f>SUMIFS('Expenditure Breakdown'!$Q$6:$Q$193, 'Expenditure Breakdown'!$W$6:$W$193, "&gt;="&amp;FF1,'Expenditure Breakdown'!$W$6:$W$193, "&lt;"&amp;FG1)</f>
        <v>0</v>
      </c>
      <c r="FG11" s="123">
        <f>SUMIFS('Expenditure Breakdown'!$Q$6:$Q$193, 'Expenditure Breakdown'!$W$6:$W$193, "&gt;="&amp;FG1,'Expenditure Breakdown'!$W$6:$W$193, "&lt;"&amp;FH1)</f>
        <v>0</v>
      </c>
      <c r="FH11" s="123">
        <f>SUMIFS('Expenditure Breakdown'!$Q$6:$Q$193, 'Expenditure Breakdown'!$W$6:$W$193, "&gt;="&amp;FH1,'Expenditure Breakdown'!$W$6:$W$193, "&lt;"&amp;FI1)</f>
        <v>0</v>
      </c>
      <c r="FI11" s="123">
        <f>SUMIFS('Expenditure Breakdown'!$Q$6:$Q$193, 'Expenditure Breakdown'!$W$6:$W$193, "&gt;="&amp;FI1,'Expenditure Breakdown'!$W$6:$W$193, "&lt;"&amp;FJ1)</f>
        <v>0</v>
      </c>
      <c r="FJ11" s="123">
        <f>SUMIFS('Expenditure Breakdown'!$Q$6:$Q$193, 'Expenditure Breakdown'!$W$6:$W$193, "&gt;="&amp;FJ1,'Expenditure Breakdown'!$W$6:$W$193, "&lt;"&amp;FK1)</f>
        <v>0</v>
      </c>
      <c r="FK11" s="123">
        <f>SUMIFS('Expenditure Breakdown'!$Q$6:$Q$193, 'Expenditure Breakdown'!$W$6:$W$193, "&gt;="&amp;FK1,'Expenditure Breakdown'!$W$6:$W$193, "&lt;"&amp;FL1)</f>
        <v>0</v>
      </c>
      <c r="FL11" s="123">
        <f>SUMIFS('Expenditure Breakdown'!$Q$6:$Q$193, 'Expenditure Breakdown'!$W$6:$W$193, "&gt;="&amp;FL1,'Expenditure Breakdown'!$W$6:$W$193, "&lt;"&amp;FM1)</f>
        <v>0</v>
      </c>
      <c r="FM11" s="123">
        <f>SUMIFS('Expenditure Breakdown'!$Q$6:$Q$193, 'Expenditure Breakdown'!$W$6:$W$193, "&gt;="&amp;FM1,'Expenditure Breakdown'!$W$6:$W$193, "&lt;"&amp;FN1)</f>
        <v>0</v>
      </c>
      <c r="FN11" s="123">
        <f>SUMIFS('Expenditure Breakdown'!$Q$6:$Q$193, 'Expenditure Breakdown'!$W$6:$W$193, "&gt;="&amp;FN1,'Expenditure Breakdown'!$W$6:$W$193, "&lt;"&amp;FO1)</f>
        <v>0</v>
      </c>
      <c r="FO11" s="123">
        <f>SUMIFS('Expenditure Breakdown'!$Q$6:$Q$193, 'Expenditure Breakdown'!$W$6:$W$193, "&gt;="&amp;FO1,'Expenditure Breakdown'!$W$6:$W$193, "&lt;"&amp;FP1)</f>
        <v>0</v>
      </c>
      <c r="FP11" s="123">
        <f>SUMIFS('Expenditure Breakdown'!$Q$6:$Q$193, 'Expenditure Breakdown'!$W$6:$W$193, "&gt;="&amp;FP1,'Expenditure Breakdown'!$W$6:$W$193, "&lt;"&amp;FQ1)</f>
        <v>0</v>
      </c>
      <c r="FQ11" s="123">
        <f>SUMIFS('Expenditure Breakdown'!$Q$6:$Q$193, 'Expenditure Breakdown'!$W$6:$W$193, "&gt;="&amp;FQ1,'Expenditure Breakdown'!$W$6:$W$193, "&lt;"&amp;FR1)</f>
        <v>0</v>
      </c>
      <c r="FR11" s="123">
        <f>SUMIFS('Expenditure Breakdown'!$Q$6:$Q$193, 'Expenditure Breakdown'!$W$6:$W$193, "&gt;="&amp;FR1,'Expenditure Breakdown'!$W$6:$W$193, "&lt;"&amp;FS1)</f>
        <v>0</v>
      </c>
      <c r="FS11" s="123">
        <f>SUMIFS('Expenditure Breakdown'!$Q$6:$Q$193, 'Expenditure Breakdown'!$W$6:$W$193, "&gt;="&amp;FS1,'Expenditure Breakdown'!$W$6:$W$193, "&lt;"&amp;FT1)</f>
        <v>0</v>
      </c>
      <c r="FT11" s="123">
        <f>SUMIFS('Expenditure Breakdown'!$Q$6:$Q$193, 'Expenditure Breakdown'!$W$6:$W$193, "&gt;="&amp;FT1,'Expenditure Breakdown'!$W$6:$W$193, "&lt;"&amp;FU1)</f>
        <v>0</v>
      </c>
      <c r="FU11" s="123">
        <f>SUMIFS('Expenditure Breakdown'!$Q$6:$Q$193, 'Expenditure Breakdown'!$W$6:$W$193, "&gt;="&amp;FU1,'Expenditure Breakdown'!$W$6:$W$193, "&lt;"&amp;FV1)</f>
        <v>0</v>
      </c>
      <c r="FV11" s="123">
        <f>SUMIFS('Expenditure Breakdown'!$Q$6:$Q$193, 'Expenditure Breakdown'!$W$6:$W$193, "&gt;="&amp;FV1,'Expenditure Breakdown'!$W$6:$W$193, "&lt;"&amp;FW1)</f>
        <v>0</v>
      </c>
      <c r="FW11" s="123">
        <f>SUMIFS('Expenditure Breakdown'!$Q$6:$Q$193, 'Expenditure Breakdown'!$W$6:$W$193, "&gt;="&amp;FW1,'Expenditure Breakdown'!$W$6:$W$193, "&lt;"&amp;FX1)</f>
        <v>0</v>
      </c>
      <c r="FX11" s="123">
        <f>SUMIFS('Expenditure Breakdown'!$Q$6:$Q$193, 'Expenditure Breakdown'!$W$6:$W$193, "&gt;="&amp;FX1,'Expenditure Breakdown'!$W$6:$W$193, "&lt;"&amp;FY1)</f>
        <v>0</v>
      </c>
      <c r="FY11" s="123">
        <f>SUMIFS('Expenditure Breakdown'!$Q$6:$Q$193, 'Expenditure Breakdown'!$W$6:$W$193, "&gt;="&amp;FY1,'Expenditure Breakdown'!$W$6:$W$193, "&lt;"&amp;FZ1)</f>
        <v>0</v>
      </c>
      <c r="FZ11" s="123">
        <f>SUMIFS('Expenditure Breakdown'!$Q$6:$Q$193, 'Expenditure Breakdown'!$W$6:$W$193, "&gt;="&amp;FZ1,'Expenditure Breakdown'!$W$6:$W$193, "&lt;"&amp;GA1)</f>
        <v>0</v>
      </c>
      <c r="GA11" s="123">
        <f>SUMIFS('Expenditure Breakdown'!$Q$6:$Q$193, 'Expenditure Breakdown'!$W$6:$W$193, "&gt;="&amp;GA1,'Expenditure Breakdown'!$W$6:$W$193, "&lt;"&amp;GB1)</f>
        <v>0</v>
      </c>
      <c r="GB11" s="123">
        <f>SUMIFS('Expenditure Breakdown'!$Q$6:$Q$193, 'Expenditure Breakdown'!$W$6:$W$193, "&gt;="&amp;GB1,'Expenditure Breakdown'!$W$6:$W$193, "&lt;"&amp;GC1)</f>
        <v>0</v>
      </c>
      <c r="GC11" s="123">
        <f>SUMIFS('Expenditure Breakdown'!$Q$6:$Q$193, 'Expenditure Breakdown'!$W$6:$W$193, "&gt;="&amp;GC1,'Expenditure Breakdown'!$W$6:$W$193, "&lt;"&amp;GD1)</f>
        <v>0</v>
      </c>
      <c r="GD11" s="123">
        <f>SUMIFS('Expenditure Breakdown'!$Q$6:$Q$193, 'Expenditure Breakdown'!$W$6:$W$193, "&gt;="&amp;GD1,'Expenditure Breakdown'!$W$6:$W$193, "&lt;"&amp;GE1)</f>
        <v>0</v>
      </c>
      <c r="GE11" s="123">
        <f>SUMIFS('Expenditure Breakdown'!$Q$6:$Q$193, 'Expenditure Breakdown'!$W$6:$W$193, "&gt;="&amp;GE1,'Expenditure Breakdown'!$W$6:$W$193, "&lt;"&amp;GF1)</f>
        <v>0</v>
      </c>
      <c r="GF11" s="123">
        <f>SUMIFS('Expenditure Breakdown'!$Q$6:$Q$193, 'Expenditure Breakdown'!$W$6:$W$193, "&gt;="&amp;GF1,'Expenditure Breakdown'!$W$6:$W$193, "&lt;"&amp;GG1)</f>
        <v>0</v>
      </c>
      <c r="GG11" s="123">
        <f>SUMIFS('Expenditure Breakdown'!$Q$6:$Q$193, 'Expenditure Breakdown'!$W$6:$W$193, "&gt;="&amp;GG1,'Expenditure Breakdown'!$W$6:$W$193, "&lt;"&amp;GH1)</f>
        <v>0</v>
      </c>
      <c r="GH11" s="123">
        <f>SUMIFS('Expenditure Breakdown'!$Q$6:$Q$193, 'Expenditure Breakdown'!$W$6:$W$193, "&gt;="&amp;GH1,'Expenditure Breakdown'!$W$6:$W$193, "&lt;"&amp;GI1)</f>
        <v>0</v>
      </c>
      <c r="GI11" s="123">
        <f>SUMIFS('Expenditure Breakdown'!$Q$6:$Q$193, 'Expenditure Breakdown'!$W$6:$W$193, "&gt;="&amp;GI1,'Expenditure Breakdown'!$W$6:$W$193, "&lt;"&amp;GJ1)</f>
        <v>0</v>
      </c>
      <c r="GJ11" s="123">
        <f>SUMIFS('Expenditure Breakdown'!$Q$6:$Q$193, 'Expenditure Breakdown'!$W$6:$W$193, "&gt;="&amp;GJ1,'Expenditure Breakdown'!$W$6:$W$193, "&lt;"&amp;GK1)</f>
        <v>0</v>
      </c>
      <c r="GK11" s="123">
        <f>SUMIFS('Expenditure Breakdown'!$Q$6:$Q$193, 'Expenditure Breakdown'!$W$6:$W$193, "&gt;="&amp;GK1,'Expenditure Breakdown'!$W$6:$W$193, "&lt;"&amp;GL1)</f>
        <v>0</v>
      </c>
      <c r="GL11" s="123">
        <f>SUMIFS('Expenditure Breakdown'!$Q$6:$Q$193, 'Expenditure Breakdown'!$W$6:$W$193, "&gt;="&amp;GL1,'Expenditure Breakdown'!$W$6:$W$193, "&lt;"&amp;GM1)</f>
        <v>0</v>
      </c>
      <c r="GM11" s="123">
        <f>SUMIFS('Expenditure Breakdown'!$Q$6:$Q$193, 'Expenditure Breakdown'!$W$6:$W$193, "&gt;="&amp;GM1,'Expenditure Breakdown'!$W$6:$W$193, "&lt;"&amp;GN1)</f>
        <v>0</v>
      </c>
      <c r="GN11" s="123">
        <f>SUMIFS('Expenditure Breakdown'!$Q$6:$Q$193, 'Expenditure Breakdown'!$W$6:$W$193, "&gt;="&amp;GN1,'Expenditure Breakdown'!$W$6:$W$193, "&lt;"&amp;GO1)</f>
        <v>0</v>
      </c>
      <c r="GO11" s="123">
        <f>SUMIFS('Expenditure Breakdown'!$Q$6:$Q$193, 'Expenditure Breakdown'!$W$6:$W$193, "&gt;="&amp;GO1,'Expenditure Breakdown'!$W$6:$W$193, "&lt;"&amp;GP1)</f>
        <v>0</v>
      </c>
      <c r="GP11" s="123">
        <f>SUMIFS('Expenditure Breakdown'!$Q$6:$Q$193, 'Expenditure Breakdown'!$W$6:$W$193, "&gt;="&amp;GP1,'Expenditure Breakdown'!$W$6:$W$193, "&lt;"&amp;GQ1)</f>
        <v>0</v>
      </c>
      <c r="GQ11" s="123">
        <f>SUMIFS('Expenditure Breakdown'!$Q$6:$Q$193, 'Expenditure Breakdown'!$W$6:$W$193, "&gt;="&amp;GQ1,'Expenditure Breakdown'!$W$6:$W$193, "&lt;"&amp;GR1)</f>
        <v>0</v>
      </c>
      <c r="GR11" s="123">
        <f>SUMIFS('Expenditure Breakdown'!$Q$6:$Q$193, 'Expenditure Breakdown'!$W$6:$W$193, "&gt;="&amp;GR1,'Expenditure Breakdown'!$W$6:$W$193, "&lt;"&amp;GS1)</f>
        <v>0</v>
      </c>
      <c r="GS11" s="123">
        <f>SUMIFS('Expenditure Breakdown'!$Q$6:$Q$193, 'Expenditure Breakdown'!$W$6:$W$193, "&gt;="&amp;GS1,'Expenditure Breakdown'!$W$6:$W$193, "&lt;"&amp;GT1)</f>
        <v>0</v>
      </c>
      <c r="GT11" s="123">
        <f>SUMIFS('Expenditure Breakdown'!$Q$6:$Q$193, 'Expenditure Breakdown'!$W$6:$W$193, "&gt;="&amp;GT1,'Expenditure Breakdown'!$W$6:$W$193, "&lt;"&amp;GU1)</f>
        <v>0</v>
      </c>
      <c r="GU11" s="123">
        <f>SUMIFS('Expenditure Breakdown'!$Q$6:$Q$193, 'Expenditure Breakdown'!$W$6:$W$193, "&gt;="&amp;GU1,'Expenditure Breakdown'!$W$6:$W$193, "&lt;"&amp;GV1)</f>
        <v>0</v>
      </c>
      <c r="GV11" s="123">
        <f>SUMIFS('Expenditure Breakdown'!$Q$6:$Q$193, 'Expenditure Breakdown'!$W$6:$W$193, "&gt;="&amp;GV1,'Expenditure Breakdown'!$W$6:$W$193, "&lt;"&amp;GW1)</f>
        <v>0</v>
      </c>
      <c r="GW11" s="123">
        <f>SUMIFS('Expenditure Breakdown'!$Q$6:$Q$193, 'Expenditure Breakdown'!$W$6:$W$193, "&gt;="&amp;GW1,'Expenditure Breakdown'!$W$6:$W$193, "&lt;"&amp;GX1)</f>
        <v>0</v>
      </c>
      <c r="GX11" s="123">
        <f>SUMIFS('Expenditure Breakdown'!$Q$6:$Q$193, 'Expenditure Breakdown'!$W$6:$W$193, "&gt;="&amp;GX1,'Expenditure Breakdown'!$W$6:$W$193, "&lt;"&amp;GY1)</f>
        <v>0</v>
      </c>
      <c r="GY11" s="123">
        <f>SUMIFS('Expenditure Breakdown'!$Q$6:$Q$193, 'Expenditure Breakdown'!$W$6:$W$193, "&gt;="&amp;GY1,'Expenditure Breakdown'!$W$6:$W$193, "&lt;"&amp;GZ1)</f>
        <v>0</v>
      </c>
      <c r="GZ11" s="123">
        <f>SUMIFS('Expenditure Breakdown'!$Q$6:$Q$193, 'Expenditure Breakdown'!$W$6:$W$193, "&gt;="&amp;GZ1,'Expenditure Breakdown'!$W$6:$W$193, "&lt;"&amp;HA1)</f>
        <v>0</v>
      </c>
      <c r="HA11" s="123">
        <f>SUMIFS('Expenditure Breakdown'!$Q$6:$Q$193, 'Expenditure Breakdown'!$W$6:$W$193, "&gt;="&amp;HA1,'Expenditure Breakdown'!$W$6:$W$193, "&lt;"&amp;HB1)</f>
        <v>0</v>
      </c>
      <c r="HB11" s="123">
        <f>SUMIFS('Expenditure Breakdown'!$Q$6:$Q$193, 'Expenditure Breakdown'!$W$6:$W$193, "&gt;="&amp;HB1,'Expenditure Breakdown'!$W$6:$W$193, "&lt;"&amp;HC1)</f>
        <v>0</v>
      </c>
      <c r="HC11" s="123">
        <f>SUMIFS('Expenditure Breakdown'!$Q$6:$Q$193, 'Expenditure Breakdown'!$W$6:$W$193, "&gt;="&amp;HC1,'Expenditure Breakdown'!$W$6:$W$193, "&lt;"&amp;HD1)</f>
        <v>0</v>
      </c>
      <c r="HD11" s="123">
        <f>SUMIFS('Expenditure Breakdown'!$Q$6:$Q$193, 'Expenditure Breakdown'!$W$6:$W$193, "&gt;="&amp;HD1,'Expenditure Breakdown'!$W$6:$W$193, "&lt;"&amp;HE1)</f>
        <v>0</v>
      </c>
      <c r="HE11" s="123">
        <f>SUMIFS('Expenditure Breakdown'!$Q$6:$Q$193, 'Expenditure Breakdown'!$W$6:$W$193, "&gt;="&amp;HE1,'Expenditure Breakdown'!$W$6:$W$193, "&lt;"&amp;HF1)</f>
        <v>0</v>
      </c>
      <c r="HF11" s="123">
        <f>SUMIFS('Expenditure Breakdown'!$Q$6:$Q$193, 'Expenditure Breakdown'!$W$6:$W$193, "&gt;="&amp;HF1,'Expenditure Breakdown'!$W$6:$W$193, "&lt;"&amp;HG1)</f>
        <v>0</v>
      </c>
      <c r="HG11" s="123">
        <f>SUMIFS('Expenditure Breakdown'!$Q$6:$Q$193, 'Expenditure Breakdown'!$W$6:$W$193, "&gt;="&amp;HG1,'Expenditure Breakdown'!$W$6:$W$193, "&lt;"&amp;HH1)</f>
        <v>0</v>
      </c>
      <c r="HH11" s="123">
        <f>SUMIFS('Expenditure Breakdown'!$Q$6:$Q$193, 'Expenditure Breakdown'!$W$6:$W$193, "&gt;="&amp;HH1,'Expenditure Breakdown'!$W$6:$W$193, "&lt;"&amp;HI1)</f>
        <v>0</v>
      </c>
      <c r="HI11" s="123">
        <f>SUMIFS('Expenditure Breakdown'!$Q$6:$Q$193, 'Expenditure Breakdown'!$W$6:$W$193, "&gt;="&amp;HI1,'Expenditure Breakdown'!$W$6:$W$193, "&lt;"&amp;HJ1)</f>
        <v>0</v>
      </c>
      <c r="HJ11" s="123">
        <f>SUMIFS('Expenditure Breakdown'!$Q$6:$Q$193, 'Expenditure Breakdown'!$W$6:$W$193, "&gt;="&amp;HJ1,'Expenditure Breakdown'!$W$6:$W$193, "&lt;"&amp;HK1)</f>
        <v>0</v>
      </c>
      <c r="HK11" s="123">
        <f>SUMIFS('Expenditure Breakdown'!$Q$6:$Q$193, 'Expenditure Breakdown'!$W$6:$W$193, "&gt;="&amp;HK1,'Expenditure Breakdown'!$W$6:$W$193, "&lt;"&amp;HL1)</f>
        <v>0</v>
      </c>
      <c r="HL11" s="123">
        <f>SUMIFS('Expenditure Breakdown'!$Q$6:$Q$193, 'Expenditure Breakdown'!$W$6:$W$193, "&gt;="&amp;HL1,'Expenditure Breakdown'!$W$6:$W$193, "&lt;"&amp;HM1)</f>
        <v>0</v>
      </c>
      <c r="HM11" s="123">
        <f>SUMIFS('Expenditure Breakdown'!$Q$6:$Q$193, 'Expenditure Breakdown'!$W$6:$W$193, "&gt;="&amp;HM1,'Expenditure Breakdown'!$W$6:$W$193, "&lt;"&amp;HN1)</f>
        <v>0</v>
      </c>
      <c r="HN11" s="123">
        <f>SUMIFS('Expenditure Breakdown'!$Q$6:$Q$193, 'Expenditure Breakdown'!$W$6:$W$193, "&gt;="&amp;HN1,'Expenditure Breakdown'!$W$6:$W$193, "&lt;"&amp;HO1)</f>
        <v>0</v>
      </c>
      <c r="HO11" s="123">
        <f>SUMIFS('Expenditure Breakdown'!$Q$6:$Q$193, 'Expenditure Breakdown'!$W$6:$W$193, "&gt;="&amp;HO1,'Expenditure Breakdown'!$W$6:$W$193, "&lt;"&amp;HP1)</f>
        <v>0</v>
      </c>
      <c r="HP11" s="123">
        <f>SUMIFS('Expenditure Breakdown'!$Q$6:$Q$193, 'Expenditure Breakdown'!$W$6:$W$193, "&gt;="&amp;HP1,'Expenditure Breakdown'!$W$6:$W$193, "&lt;"&amp;HQ1)</f>
        <v>0</v>
      </c>
      <c r="HQ11" s="123">
        <f>SUMIFS('Expenditure Breakdown'!$Q$6:$Q$193, 'Expenditure Breakdown'!$W$6:$W$193, "&gt;="&amp;HQ1,'Expenditure Breakdown'!$W$6:$W$193, "&lt;"&amp;HR1)</f>
        <v>0</v>
      </c>
      <c r="HR11" s="123">
        <f>SUMIFS('Expenditure Breakdown'!$Q$6:$Q$193, 'Expenditure Breakdown'!$W$6:$W$193, "&gt;="&amp;HR1,'Expenditure Breakdown'!$W$6:$W$193, "&lt;"&amp;HS1)</f>
        <v>0</v>
      </c>
      <c r="HS11" s="123">
        <f>SUMIFS('Expenditure Breakdown'!$Q$6:$Q$193, 'Expenditure Breakdown'!$W$6:$W$193, "&gt;="&amp;HS1,'Expenditure Breakdown'!$W$6:$W$193, "&lt;"&amp;HT1)</f>
        <v>0</v>
      </c>
      <c r="HT11" s="123">
        <f>SUMIFS('Expenditure Breakdown'!$Q$6:$Q$193, 'Expenditure Breakdown'!$W$6:$W$193, "&gt;="&amp;HT1,'Expenditure Breakdown'!$W$6:$W$193, "&lt;"&amp;HU1)</f>
        <v>0</v>
      </c>
      <c r="HU11" s="123">
        <f>SUMIFS('Expenditure Breakdown'!$Q$6:$Q$193, 'Expenditure Breakdown'!$W$6:$W$193, "&gt;="&amp;HU1,'Expenditure Breakdown'!$W$6:$W$193, "&lt;"&amp;HV1)</f>
        <v>0</v>
      </c>
      <c r="HV11" s="123">
        <f>SUMIFS('Expenditure Breakdown'!$Q$6:$Q$193, 'Expenditure Breakdown'!$W$6:$W$193, "&gt;="&amp;HV1,'Expenditure Breakdown'!$W$6:$W$193, "&lt;"&amp;HW1)</f>
        <v>0</v>
      </c>
      <c r="HW11" s="123">
        <f>SUMIFS('Expenditure Breakdown'!$Q$6:$Q$193, 'Expenditure Breakdown'!$W$6:$W$193, "&gt;="&amp;HW1,'Expenditure Breakdown'!$W$6:$W$193, "&lt;"&amp;HX1)</f>
        <v>0</v>
      </c>
      <c r="HX11" s="123">
        <f>SUMIFS('Expenditure Breakdown'!$Q$6:$Q$193, 'Expenditure Breakdown'!$W$6:$W$193, "&gt;="&amp;HX1,'Expenditure Breakdown'!$W$6:$W$193, "&lt;"&amp;HY1)</f>
        <v>0</v>
      </c>
      <c r="HY11" s="123">
        <f>SUMIFS('Expenditure Breakdown'!$Q$6:$Q$193, 'Expenditure Breakdown'!$W$6:$W$193, "&gt;="&amp;HY1,'Expenditure Breakdown'!$W$6:$W$193, "&lt;"&amp;HZ1)</f>
        <v>0</v>
      </c>
      <c r="HZ11" s="123">
        <f>SUMIFS('Expenditure Breakdown'!$Q$6:$Q$193, 'Expenditure Breakdown'!$W$6:$W$193, "&gt;="&amp;HZ1,'Expenditure Breakdown'!$W$6:$W$193, "&lt;"&amp;IA1)</f>
        <v>0</v>
      </c>
      <c r="IA11" s="123">
        <f>SUMIFS('Expenditure Breakdown'!$Q$6:$Q$193, 'Expenditure Breakdown'!$W$6:$W$193, "&gt;="&amp;IA1,'Expenditure Breakdown'!$W$6:$W$193, "&lt;"&amp;IB1)</f>
        <v>0</v>
      </c>
      <c r="IB11" s="123">
        <f>SUMIFS('Expenditure Breakdown'!$Q$6:$Q$193, 'Expenditure Breakdown'!$W$6:$W$193, "&gt;="&amp;IB1,'Expenditure Breakdown'!$W$6:$W$193, "&lt;"&amp;IC1)</f>
        <v>0</v>
      </c>
      <c r="IC11" s="123">
        <f>SUMIFS('Expenditure Breakdown'!$Q$6:$Q$193, 'Expenditure Breakdown'!$W$6:$W$193, "&gt;="&amp;IC1,'Expenditure Breakdown'!$W$6:$W$193, "&lt;"&amp;ID1)</f>
        <v>0</v>
      </c>
      <c r="ID11" s="123">
        <f>SUMIFS('Expenditure Breakdown'!$Q$6:$Q$193, 'Expenditure Breakdown'!$W$6:$W$193, "&gt;="&amp;ID1,'Expenditure Breakdown'!$W$6:$W$193, "&lt;"&amp;IE1)</f>
        <v>0</v>
      </c>
      <c r="IE11" s="123">
        <f>SUMIFS('Expenditure Breakdown'!$Q$6:$Q$193, 'Expenditure Breakdown'!$W$6:$W$193, "&gt;="&amp;IE1,'Expenditure Breakdown'!$W$6:$W$193, "&lt;"&amp;IF1)</f>
        <v>0</v>
      </c>
      <c r="IF11" s="123">
        <f>SUMIFS('Expenditure Breakdown'!$Q$6:$Q$193, 'Expenditure Breakdown'!$W$6:$W$193, "&gt;="&amp;IF1,'Expenditure Breakdown'!$W$6:$W$193, "&lt;"&amp;IG1)</f>
        <v>0</v>
      </c>
      <c r="IG11" s="123">
        <f>SUMIFS('Expenditure Breakdown'!$Q$6:$Q$193, 'Expenditure Breakdown'!$W$6:$W$193, "&gt;="&amp;IG1,'Expenditure Breakdown'!$W$6:$W$193, "&lt;"&amp;IH1)</f>
        <v>0</v>
      </c>
      <c r="IH11" s="123">
        <f>SUMIFS('Expenditure Breakdown'!$Q$6:$Q$193, 'Expenditure Breakdown'!$W$6:$W$193, "&gt;="&amp;IH1,'Expenditure Breakdown'!$W$6:$W$193, "&lt;"&amp;II1)</f>
        <v>0</v>
      </c>
      <c r="II11" s="123">
        <f>SUMIFS('Expenditure Breakdown'!$Q$6:$Q$193, 'Expenditure Breakdown'!$W$6:$W$193, "&gt;="&amp;II1,'Expenditure Breakdown'!$W$6:$W$193, "&lt;"&amp;IJ1)</f>
        <v>0</v>
      </c>
      <c r="IJ11" s="123">
        <f>SUMIFS('Expenditure Breakdown'!$Q$6:$Q$193, 'Expenditure Breakdown'!$W$6:$W$193, "&gt;="&amp;IJ1,'Expenditure Breakdown'!$W$6:$W$193, "&lt;"&amp;IK1)</f>
        <v>0</v>
      </c>
      <c r="IK11" s="123">
        <f>SUMIFS('Expenditure Breakdown'!$Q$6:$Q$193, 'Expenditure Breakdown'!$W$6:$W$193, "&gt;="&amp;IK1,'Expenditure Breakdown'!$W$6:$W$193, "&lt;"&amp;IL1)</f>
        <v>0</v>
      </c>
      <c r="IL11" s="123">
        <f>SUMIFS('Expenditure Breakdown'!$Q$6:$Q$193, 'Expenditure Breakdown'!$W$6:$W$193, "&gt;="&amp;IL1,'Expenditure Breakdown'!$W$6:$W$193, "&lt;"&amp;IM1)</f>
        <v>0</v>
      </c>
      <c r="IM11" s="123">
        <f>SUMIFS('Expenditure Breakdown'!$Q$6:$Q$193, 'Expenditure Breakdown'!$W$6:$W$193, "&gt;="&amp;IM1,'Expenditure Breakdown'!$W$6:$W$193, "&lt;"&amp;IN1)</f>
        <v>0</v>
      </c>
      <c r="IN11" s="123">
        <f>SUMIFS('Expenditure Breakdown'!$Q$6:$Q$193, 'Expenditure Breakdown'!$W$6:$W$193, "&gt;="&amp;IN1,'Expenditure Breakdown'!$W$6:$W$193, "&lt;"&amp;IO1)</f>
        <v>0</v>
      </c>
      <c r="IO11" s="123">
        <f>SUMIFS('Expenditure Breakdown'!$Q$6:$Q$193, 'Expenditure Breakdown'!$W$6:$W$193, "&gt;="&amp;IO1,'Expenditure Breakdown'!$W$6:$W$193, "&lt;"&amp;IP1)</f>
        <v>0</v>
      </c>
      <c r="IP11" s="123">
        <f>SUMIFS('Expenditure Breakdown'!$Q$6:$Q$193, 'Expenditure Breakdown'!$W$6:$W$193, "&gt;="&amp;IP1,'Expenditure Breakdown'!$W$6:$W$193, "&lt;"&amp;IQ1)</f>
        <v>0</v>
      </c>
      <c r="IQ11" s="123">
        <f>SUMIFS('Expenditure Breakdown'!$Q$6:$Q$193, 'Expenditure Breakdown'!$W$6:$W$193, "&gt;="&amp;IQ1,'Expenditure Breakdown'!$W$6:$W$193, "&lt;"&amp;IR1)</f>
        <v>0</v>
      </c>
      <c r="IR11" s="123">
        <f>SUMIFS('Expenditure Breakdown'!$Q$6:$Q$193, 'Expenditure Breakdown'!$W$6:$W$193, "&gt;="&amp;IR1,'Expenditure Breakdown'!$W$6:$W$193, "&lt;"&amp;IS1)</f>
        <v>0</v>
      </c>
      <c r="IS11" s="123">
        <f>SUMIFS('Expenditure Breakdown'!$Q$6:$Q$193, 'Expenditure Breakdown'!$W$6:$W$193, "&gt;="&amp;IS1,'Expenditure Breakdown'!$W$6:$W$193, "&lt;"&amp;IT1)</f>
        <v>0</v>
      </c>
      <c r="IT11" s="123">
        <f>SUMIFS('Expenditure Breakdown'!$Q$6:$Q$193, 'Expenditure Breakdown'!$W$6:$W$193, "&gt;="&amp;IT1,'Expenditure Breakdown'!$W$6:$W$193, "&lt;"&amp;IU1)</f>
        <v>0</v>
      </c>
      <c r="IU11" s="123">
        <f>SUMIFS('Expenditure Breakdown'!$Q$6:$Q$193, 'Expenditure Breakdown'!$W$6:$W$193, "&gt;="&amp;IU1,'Expenditure Breakdown'!$W$6:$W$193, "&lt;"&amp;IV1)</f>
        <v>0</v>
      </c>
      <c r="IV11" s="123">
        <f>SUMIFS('Expenditure Breakdown'!$Q$6:$Q$193, 'Expenditure Breakdown'!$W$6:$W$193, "&gt;="&amp;IV1,'Expenditure Breakdown'!$W$6:$W$193, "&lt;"&amp;IW1)</f>
        <v>0</v>
      </c>
      <c r="IW11" s="123">
        <f>SUMIFS('Expenditure Breakdown'!$Q$6:$Q$193, 'Expenditure Breakdown'!$W$6:$W$193, "&gt;="&amp;IW1,'Expenditure Breakdown'!$W$6:$W$193, "&lt;"&amp;IX1)</f>
        <v>0</v>
      </c>
      <c r="IX11" s="123">
        <f>SUMIFS('Expenditure Breakdown'!$Q$6:$Q$193, 'Expenditure Breakdown'!$W$6:$W$193, "&gt;="&amp;IX1,'Expenditure Breakdown'!$W$6:$W$193, "&lt;"&amp;IY1)</f>
        <v>0</v>
      </c>
      <c r="IY11" s="123">
        <f>SUMIFS('Expenditure Breakdown'!$Q$6:$Q$193, 'Expenditure Breakdown'!$W$6:$W$193, "&gt;="&amp;IY1,'Expenditure Breakdown'!$W$6:$W$193, "&lt;"&amp;IZ1)</f>
        <v>0</v>
      </c>
      <c r="IZ11" s="123">
        <f>SUMIFS('Expenditure Breakdown'!$Q$6:$Q$193, 'Expenditure Breakdown'!$W$6:$W$193, "&gt;="&amp;IZ1,'Expenditure Breakdown'!$W$6:$W$193, "&lt;"&amp;JA1)</f>
        <v>0</v>
      </c>
      <c r="JA11" s="123">
        <f>SUMIFS('Expenditure Breakdown'!$Q$6:$Q$193, 'Expenditure Breakdown'!$W$6:$W$193, "&gt;="&amp;JA1,'Expenditure Breakdown'!$W$6:$W$193, "&lt;"&amp;JB1)</f>
        <v>0</v>
      </c>
      <c r="JB11" s="123">
        <f>SUMIFS('Expenditure Breakdown'!$Q$6:$Q$193, 'Expenditure Breakdown'!$W$6:$W$193, "&gt;="&amp;JB1,'Expenditure Breakdown'!$W$6:$W$193, "&lt;"&amp;JC1)</f>
        <v>0</v>
      </c>
      <c r="JC11" s="123">
        <f>SUMIFS('Expenditure Breakdown'!$Q$6:$Q$193, 'Expenditure Breakdown'!$W$6:$W$193, "&gt;="&amp;JC1,'Expenditure Breakdown'!$W$6:$W$193, "&lt;"&amp;JD1)</f>
        <v>0</v>
      </c>
      <c r="JD11" s="123">
        <f>SUMIFS('Expenditure Breakdown'!$Q$6:$Q$193, 'Expenditure Breakdown'!$W$6:$W$193, "&gt;="&amp;JD1,'Expenditure Breakdown'!$W$6:$W$193, "&lt;"&amp;JE1)</f>
        <v>0</v>
      </c>
      <c r="JE11" s="123">
        <f>SUMIFS('Expenditure Breakdown'!$Q$6:$Q$193, 'Expenditure Breakdown'!$W$6:$W$193, "&gt;="&amp;JE1,'Expenditure Breakdown'!$W$6:$W$193, "&lt;"&amp;JF1)</f>
        <v>0</v>
      </c>
      <c r="JF11" s="123">
        <f>SUMIFS('Expenditure Breakdown'!$Q$6:$Q$193, 'Expenditure Breakdown'!$W$6:$W$193, "&gt;="&amp;JF1,'Expenditure Breakdown'!$W$6:$W$193, "&lt;"&amp;JG1)</f>
        <v>0</v>
      </c>
      <c r="JG11" s="123">
        <f>SUMIFS('Expenditure Breakdown'!$Q$6:$Q$193, 'Expenditure Breakdown'!$W$6:$W$193, "&gt;="&amp;JG1,'Expenditure Breakdown'!$W$6:$W$193, "&lt;"&amp;JH1)</f>
        <v>0</v>
      </c>
      <c r="JH11" s="123">
        <f>SUMIFS('Expenditure Breakdown'!$Q$6:$Q$193, 'Expenditure Breakdown'!$W$6:$W$193, "&gt;="&amp;JH1,'Expenditure Breakdown'!$W$6:$W$193, "&lt;"&amp;JI1)</f>
        <v>0</v>
      </c>
      <c r="JI11" s="123">
        <f>SUMIFS('Expenditure Breakdown'!$Q$6:$Q$193, 'Expenditure Breakdown'!$W$6:$W$193, "&gt;="&amp;JI1,'Expenditure Breakdown'!$W$6:$W$193, "&lt;"&amp;JJ1)</f>
        <v>0</v>
      </c>
      <c r="JJ11" s="123">
        <f>SUMIFS('Expenditure Breakdown'!$Q$6:$Q$193, 'Expenditure Breakdown'!$W$6:$W$193, "&gt;="&amp;JJ1,'Expenditure Breakdown'!$W$6:$W$193, "&lt;"&amp;JK1)</f>
        <v>0</v>
      </c>
      <c r="JK11" s="123">
        <f>SUMIFS('Expenditure Breakdown'!$Q$6:$Q$193, 'Expenditure Breakdown'!$W$6:$W$193, "&gt;="&amp;JK1,'Expenditure Breakdown'!$W$6:$W$193, "&lt;"&amp;JL1)</f>
        <v>0</v>
      </c>
      <c r="JL11" s="123">
        <f>SUMIFS('Expenditure Breakdown'!$Q$6:$Q$193, 'Expenditure Breakdown'!$W$6:$W$193, "&gt;="&amp;JL1,'Expenditure Breakdown'!$W$6:$W$193, "&lt;"&amp;JM1)</f>
        <v>0</v>
      </c>
      <c r="JM11" s="123">
        <f>SUMIFS('Expenditure Breakdown'!$Q$6:$Q$193, 'Expenditure Breakdown'!$W$6:$W$193, "&gt;="&amp;JM1,'Expenditure Breakdown'!$W$6:$W$193, "&lt;"&amp;JN1)</f>
        <v>0</v>
      </c>
      <c r="JN11" s="123">
        <f>SUMIFS('Expenditure Breakdown'!$Q$6:$Q$193, 'Expenditure Breakdown'!$W$6:$W$193, "&gt;="&amp;JN1,'Expenditure Breakdown'!$W$6:$W$193, "&lt;"&amp;JO1)</f>
        <v>0</v>
      </c>
      <c r="JO11" s="123">
        <f>SUMIFS('Expenditure Breakdown'!$Q$6:$Q$193, 'Expenditure Breakdown'!$W$6:$W$193, "&gt;="&amp;JO1,'Expenditure Breakdown'!$W$6:$W$193, "&lt;"&amp;JP1)</f>
        <v>0</v>
      </c>
      <c r="JP11" s="123">
        <f>SUMIFS('Expenditure Breakdown'!$Q$6:$Q$193, 'Expenditure Breakdown'!$W$6:$W$193, "&gt;="&amp;JP1,'Expenditure Breakdown'!$W$6:$W$193, "&lt;"&amp;JQ1)</f>
        <v>0</v>
      </c>
      <c r="JQ11" s="123">
        <f>SUMIFS('Expenditure Breakdown'!$Q$6:$Q$193, 'Expenditure Breakdown'!$W$6:$W$193, "&gt;="&amp;JQ1,'Expenditure Breakdown'!$W$6:$W$193, "&lt;"&amp;JR1)</f>
        <v>0</v>
      </c>
      <c r="JR11" s="123">
        <f>SUMIFS('Expenditure Breakdown'!$Q$6:$Q$193, 'Expenditure Breakdown'!$W$6:$W$193, "&gt;="&amp;JR1,'Expenditure Breakdown'!$W$6:$W$193, "&lt;"&amp;JS1)</f>
        <v>0</v>
      </c>
      <c r="JS11" s="123">
        <f>SUMIFS('Expenditure Breakdown'!$Q$6:$Q$193, 'Expenditure Breakdown'!$W$6:$W$193, "&gt;="&amp;JS1,'Expenditure Breakdown'!$W$6:$W$193, "&lt;"&amp;JT1)</f>
        <v>0</v>
      </c>
      <c r="JT11" s="123">
        <f>SUMIFS('Expenditure Breakdown'!$Q$6:$Q$193, 'Expenditure Breakdown'!$W$6:$W$193, "&gt;="&amp;JT1,'Expenditure Breakdown'!$W$6:$W$193, "&lt;"&amp;JU1)</f>
        <v>0</v>
      </c>
      <c r="JU11" s="123">
        <f>SUMIFS('Expenditure Breakdown'!$Q$6:$Q$193, 'Expenditure Breakdown'!$W$6:$W$193, "&gt;="&amp;JU1,'Expenditure Breakdown'!$W$6:$W$193, "&lt;"&amp;JV1)</f>
        <v>0</v>
      </c>
      <c r="JV11" s="123">
        <f>SUMIFS('Expenditure Breakdown'!$Q$6:$Q$193, 'Expenditure Breakdown'!$W$6:$W$193, "&gt;="&amp;JV1,'Expenditure Breakdown'!$W$6:$W$193, "&lt;"&amp;JW1)</f>
        <v>0</v>
      </c>
      <c r="JW11" s="123">
        <f>SUMIFS('Expenditure Breakdown'!$Q$6:$Q$193, 'Expenditure Breakdown'!$W$6:$W$193, "&gt;="&amp;JW1,'Expenditure Breakdown'!$W$6:$W$193, "&lt;"&amp;JX1)</f>
        <v>0</v>
      </c>
      <c r="JX11" s="123">
        <f>SUMIFS('Expenditure Breakdown'!$Q$6:$Q$193, 'Expenditure Breakdown'!$W$6:$W$193, "&gt;="&amp;JX1,'Expenditure Breakdown'!$W$6:$W$193, "&lt;"&amp;JY1)</f>
        <v>0</v>
      </c>
      <c r="JY11" s="123">
        <f>SUMIFS('Expenditure Breakdown'!$Q$6:$Q$193, 'Expenditure Breakdown'!$W$6:$W$193, "&gt;="&amp;JY1,'Expenditure Breakdown'!$W$6:$W$193, "&lt;"&amp;JZ1)</f>
        <v>0</v>
      </c>
      <c r="JZ11" s="123">
        <f>SUMIFS('Expenditure Breakdown'!$Q$6:$Q$193, 'Expenditure Breakdown'!$W$6:$W$193, "&gt;="&amp;JZ1,'Expenditure Breakdown'!$W$6:$W$193, "&lt;"&amp;KA1)</f>
        <v>0</v>
      </c>
      <c r="KA11" s="123">
        <f>SUMIFS('Expenditure Breakdown'!$Q$6:$Q$193, 'Expenditure Breakdown'!$W$6:$W$193, "&gt;="&amp;KA1,'Expenditure Breakdown'!$W$6:$W$193, "&lt;"&amp;KB1)</f>
        <v>0</v>
      </c>
      <c r="KB11" s="123">
        <f>SUMIFS('Expenditure Breakdown'!$Q$6:$Q$193, 'Expenditure Breakdown'!$W$6:$W$193, "&gt;="&amp;KB1,'Expenditure Breakdown'!$W$6:$W$193, "&lt;"&amp;KC1)</f>
        <v>0</v>
      </c>
      <c r="KC11" s="123">
        <f>SUMIFS('Expenditure Breakdown'!$Q$6:$Q$193, 'Expenditure Breakdown'!$W$6:$W$193, "&gt;="&amp;KC1,'Expenditure Breakdown'!$W$6:$W$193, "&lt;"&amp;KD1)</f>
        <v>0</v>
      </c>
      <c r="KD11" s="123">
        <f>SUMIFS('Expenditure Breakdown'!$Q$6:$Q$193, 'Expenditure Breakdown'!$W$6:$W$193, "&gt;="&amp;KD1,'Expenditure Breakdown'!$W$6:$W$193, "&lt;"&amp;KE1)</f>
        <v>0</v>
      </c>
      <c r="KE11" s="123">
        <f>SUMIFS('Expenditure Breakdown'!$Q$6:$Q$193, 'Expenditure Breakdown'!$W$6:$W$193, "&gt;="&amp;KE1,'Expenditure Breakdown'!$W$6:$W$193, "&lt;"&amp;KF1)</f>
        <v>0</v>
      </c>
      <c r="KF11" s="123">
        <f>SUMIFS('Expenditure Breakdown'!$Q$6:$Q$193, 'Expenditure Breakdown'!$W$6:$W$193, "&gt;="&amp;KF1,'Expenditure Breakdown'!$W$6:$W$193, "&lt;"&amp;#REF!)</f>
        <v>0</v>
      </c>
      <c r="KG11" s="100"/>
      <c r="KH11" s="111"/>
      <c r="KI11" s="111"/>
    </row>
    <row r="12" spans="1:770" s="112" customFormat="1">
      <c r="A12" s="794"/>
      <c r="B12" s="121" t="s">
        <v>532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2554298.4660000005</v>
      </c>
      <c r="AC12" s="123">
        <f t="shared" si="26"/>
        <v>2585071.4660000005</v>
      </c>
      <c r="AD12" s="123">
        <f>AC12+AD11</f>
        <v>2585071.4660000005</v>
      </c>
      <c r="AE12" s="123">
        <f t="shared" si="26"/>
        <v>2674096.6775000007</v>
      </c>
      <c r="AF12" s="123">
        <f t="shared" si="26"/>
        <v>2677596.6775000007</v>
      </c>
      <c r="AG12" s="123">
        <f t="shared" si="26"/>
        <v>2677596.6775000007</v>
      </c>
      <c r="AH12" s="123">
        <f t="shared" si="26"/>
        <v>2677596.6775000007</v>
      </c>
      <c r="AI12" s="123">
        <f t="shared" si="26"/>
        <v>2677596.6775000007</v>
      </c>
      <c r="AJ12" s="123">
        <f t="shared" si="26"/>
        <v>2677596.6775000007</v>
      </c>
      <c r="AK12" s="123">
        <f t="shared" si="26"/>
        <v>2677596.6775000007</v>
      </c>
      <c r="AL12" s="123">
        <f t="shared" si="26"/>
        <v>2677596.6775000007</v>
      </c>
      <c r="AM12" s="123">
        <f t="shared" si="26"/>
        <v>2677596.6775000007</v>
      </c>
      <c r="AN12" s="123">
        <f t="shared" si="26"/>
        <v>2677596.6775000007</v>
      </c>
      <c r="AO12" s="123">
        <f t="shared" si="26"/>
        <v>2677596.6775000007</v>
      </c>
      <c r="AP12" s="123">
        <f t="shared" si="26"/>
        <v>2677596.6775000007</v>
      </c>
      <c r="AQ12" s="123">
        <f t="shared" si="26"/>
        <v>2677596.6775000007</v>
      </c>
      <c r="AR12" s="123">
        <f t="shared" si="26"/>
        <v>2677596.6775000007</v>
      </c>
      <c r="AS12" s="123">
        <f t="shared" si="26"/>
        <v>2677596.6775000007</v>
      </c>
      <c r="AT12" s="123">
        <f t="shared" si="26"/>
        <v>2677596.6775000007</v>
      </c>
      <c r="AU12" s="123">
        <f t="shared" si="26"/>
        <v>2677596.6775000007</v>
      </c>
      <c r="AV12" s="123">
        <f t="shared" si="26"/>
        <v>2677596.6775000007</v>
      </c>
      <c r="AW12" s="123">
        <f t="shared" si="26"/>
        <v>2677596.6775000007</v>
      </c>
      <c r="AX12" s="123">
        <f t="shared" si="26"/>
        <v>2677596.6775000007</v>
      </c>
      <c r="AY12" s="123">
        <f t="shared" si="26"/>
        <v>2677596.6775000007</v>
      </c>
      <c r="AZ12" s="123">
        <f t="shared" si="26"/>
        <v>2677596.6775000007</v>
      </c>
      <c r="BA12" s="123">
        <f t="shared" si="26"/>
        <v>2677596.6775000007</v>
      </c>
      <c r="BB12" s="123">
        <f t="shared" si="26"/>
        <v>2677596.6775000007</v>
      </c>
      <c r="BC12" s="123">
        <f t="shared" si="26"/>
        <v>2677596.6775000007</v>
      </c>
      <c r="BD12" s="123">
        <f t="shared" si="26"/>
        <v>2677596.6775000007</v>
      </c>
      <c r="BE12" s="123">
        <f t="shared" si="26"/>
        <v>2677596.6775000007</v>
      </c>
      <c r="BF12" s="123">
        <f t="shared" si="26"/>
        <v>2677596.6775000007</v>
      </c>
      <c r="BG12" s="123">
        <f t="shared" si="26"/>
        <v>2677596.6775000007</v>
      </c>
      <c r="BH12" s="123">
        <f t="shared" si="26"/>
        <v>2677596.6775000007</v>
      </c>
      <c r="BI12" s="123">
        <f t="shared" si="26"/>
        <v>2677596.6775000007</v>
      </c>
      <c r="BJ12" s="123">
        <f t="shared" si="26"/>
        <v>2677596.6775000007</v>
      </c>
      <c r="BK12" s="123">
        <f t="shared" si="26"/>
        <v>2677596.6775000007</v>
      </c>
      <c r="BL12" s="123">
        <f t="shared" si="26"/>
        <v>2677596.6775000007</v>
      </c>
      <c r="BM12" s="123">
        <f t="shared" si="26"/>
        <v>2677596.6775000007</v>
      </c>
      <c r="BN12" s="123">
        <f t="shared" si="26"/>
        <v>2677596.6775000007</v>
      </c>
      <c r="BO12" s="123">
        <f t="shared" si="26"/>
        <v>2677596.6775000007</v>
      </c>
      <c r="BP12" s="123">
        <f t="shared" si="26"/>
        <v>2677596.6775000007</v>
      </c>
      <c r="BQ12" s="123">
        <f t="shared" si="26"/>
        <v>2677596.6775000007</v>
      </c>
      <c r="BR12" s="123">
        <f t="shared" si="26"/>
        <v>2677596.6775000007</v>
      </c>
      <c r="BS12" s="123">
        <f t="shared" si="26"/>
        <v>2677596.6775000007</v>
      </c>
      <c r="BT12" s="123">
        <f t="shared" si="26"/>
        <v>2677596.6775000007</v>
      </c>
      <c r="BU12" s="123">
        <f t="shared" ref="BU12:EF12" si="27">BT12+BU11</f>
        <v>2677596.6775000007</v>
      </c>
      <c r="BV12" s="123">
        <f t="shared" si="27"/>
        <v>2677596.6775000007</v>
      </c>
      <c r="BW12" s="123">
        <f t="shared" si="27"/>
        <v>2677596.6775000007</v>
      </c>
      <c r="BX12" s="123">
        <f t="shared" si="27"/>
        <v>2677596.6775000007</v>
      </c>
      <c r="BY12" s="123">
        <f t="shared" si="27"/>
        <v>2677596.6775000007</v>
      </c>
      <c r="BZ12" s="123">
        <f t="shared" si="27"/>
        <v>2677596.6775000007</v>
      </c>
      <c r="CA12" s="123">
        <f t="shared" si="27"/>
        <v>2677596.6775000007</v>
      </c>
      <c r="CB12" s="123">
        <f t="shared" si="27"/>
        <v>2677596.6775000007</v>
      </c>
      <c r="CC12" s="123">
        <f t="shared" si="27"/>
        <v>2677596.6775000007</v>
      </c>
      <c r="CD12" s="123">
        <f t="shared" si="27"/>
        <v>2677596.6775000007</v>
      </c>
      <c r="CE12" s="123">
        <f t="shared" si="27"/>
        <v>2677596.6775000007</v>
      </c>
      <c r="CF12" s="123">
        <f t="shared" si="27"/>
        <v>2677596.6775000007</v>
      </c>
      <c r="CG12" s="123">
        <f t="shared" si="27"/>
        <v>2677596.6775000007</v>
      </c>
      <c r="CH12" s="123">
        <f t="shared" si="27"/>
        <v>2677596.6775000007</v>
      </c>
      <c r="CI12" s="123">
        <f t="shared" si="27"/>
        <v>2677596.6775000007</v>
      </c>
      <c r="CJ12" s="123">
        <f t="shared" si="27"/>
        <v>2677596.6775000007</v>
      </c>
      <c r="CK12" s="123">
        <f t="shared" si="27"/>
        <v>2677596.6775000007</v>
      </c>
      <c r="CL12" s="123">
        <f t="shared" si="27"/>
        <v>2677596.6775000007</v>
      </c>
      <c r="CM12" s="123">
        <f t="shared" si="27"/>
        <v>2677596.6775000007</v>
      </c>
      <c r="CN12" s="123">
        <f t="shared" si="27"/>
        <v>2677596.6775000007</v>
      </c>
      <c r="CO12" s="123">
        <f t="shared" si="27"/>
        <v>2677596.6775000007</v>
      </c>
      <c r="CP12" s="123">
        <f t="shared" si="27"/>
        <v>2677596.6775000007</v>
      </c>
      <c r="CQ12" s="123">
        <f t="shared" si="27"/>
        <v>2677596.6775000007</v>
      </c>
      <c r="CR12" s="123">
        <f t="shared" si="27"/>
        <v>2677596.6775000007</v>
      </c>
      <c r="CS12" s="123">
        <f t="shared" si="27"/>
        <v>2677596.6775000007</v>
      </c>
      <c r="CT12" s="123">
        <f t="shared" si="27"/>
        <v>2677596.6775000007</v>
      </c>
      <c r="CU12" s="123">
        <f t="shared" si="27"/>
        <v>2677596.6775000007</v>
      </c>
      <c r="CV12" s="123">
        <f t="shared" si="27"/>
        <v>2677596.6775000007</v>
      </c>
      <c r="CW12" s="123">
        <f t="shared" si="27"/>
        <v>2677596.6775000007</v>
      </c>
      <c r="CX12" s="123">
        <f t="shared" si="27"/>
        <v>2677596.6775000007</v>
      </c>
      <c r="CY12" s="123">
        <f t="shared" si="27"/>
        <v>2677596.6775000007</v>
      </c>
      <c r="CZ12" s="123">
        <f t="shared" si="27"/>
        <v>2677596.6775000007</v>
      </c>
      <c r="DA12" s="123">
        <f t="shared" si="27"/>
        <v>2677596.6775000007</v>
      </c>
      <c r="DB12" s="123">
        <f t="shared" si="27"/>
        <v>2677596.6775000007</v>
      </c>
      <c r="DC12" s="123">
        <f t="shared" si="27"/>
        <v>2677596.6775000007</v>
      </c>
      <c r="DD12" s="123">
        <f t="shared" si="27"/>
        <v>2677596.6775000007</v>
      </c>
      <c r="DE12" s="123">
        <f t="shared" si="27"/>
        <v>2677596.6775000007</v>
      </c>
      <c r="DF12" s="123">
        <f t="shared" si="27"/>
        <v>2677596.6775000007</v>
      </c>
      <c r="DG12" s="123">
        <f t="shared" si="27"/>
        <v>2677596.6775000007</v>
      </c>
      <c r="DH12" s="123">
        <f t="shared" si="27"/>
        <v>2677596.6775000007</v>
      </c>
      <c r="DI12" s="123">
        <f t="shared" si="27"/>
        <v>2677596.6775000007</v>
      </c>
      <c r="DJ12" s="123">
        <f t="shared" si="27"/>
        <v>2677596.6775000007</v>
      </c>
      <c r="DK12" s="123">
        <f t="shared" si="27"/>
        <v>2677596.6775000007</v>
      </c>
      <c r="DL12" s="123">
        <f t="shared" si="27"/>
        <v>2677596.6775000007</v>
      </c>
      <c r="DM12" s="123">
        <f t="shared" si="27"/>
        <v>2677596.6775000007</v>
      </c>
      <c r="DN12" s="123">
        <f t="shared" si="27"/>
        <v>2677596.6775000007</v>
      </c>
      <c r="DO12" s="123">
        <f t="shared" si="27"/>
        <v>2677596.6775000007</v>
      </c>
      <c r="DP12" s="123">
        <f t="shared" si="27"/>
        <v>2677596.6775000007</v>
      </c>
      <c r="DQ12" s="123">
        <f t="shared" si="27"/>
        <v>2677596.6775000007</v>
      </c>
      <c r="DR12" s="123">
        <f t="shared" si="27"/>
        <v>2677596.6775000007</v>
      </c>
      <c r="DS12" s="123">
        <f t="shared" si="27"/>
        <v>2677596.6775000007</v>
      </c>
      <c r="DT12" s="123">
        <f t="shared" si="27"/>
        <v>2677596.6775000007</v>
      </c>
      <c r="DU12" s="123">
        <f t="shared" si="27"/>
        <v>2677596.6775000007</v>
      </c>
      <c r="DV12" s="123">
        <f t="shared" si="27"/>
        <v>2677596.6775000007</v>
      </c>
      <c r="DW12" s="123">
        <f t="shared" si="27"/>
        <v>2677596.6775000007</v>
      </c>
      <c r="DX12" s="123">
        <f t="shared" si="27"/>
        <v>2677596.6775000007</v>
      </c>
      <c r="DY12" s="123">
        <f t="shared" si="27"/>
        <v>2677596.6775000007</v>
      </c>
      <c r="DZ12" s="123">
        <f t="shared" si="27"/>
        <v>2677596.6775000007</v>
      </c>
      <c r="EA12" s="123">
        <f t="shared" si="27"/>
        <v>2677596.6775000007</v>
      </c>
      <c r="EB12" s="123">
        <f t="shared" si="27"/>
        <v>2677596.6775000007</v>
      </c>
      <c r="EC12" s="123">
        <f t="shared" si="27"/>
        <v>2677596.6775000007</v>
      </c>
      <c r="ED12" s="123">
        <f t="shared" si="27"/>
        <v>2677596.6775000007</v>
      </c>
      <c r="EE12" s="123">
        <f t="shared" si="27"/>
        <v>2677596.6775000007</v>
      </c>
      <c r="EF12" s="123">
        <f t="shared" si="27"/>
        <v>2677596.6775000007</v>
      </c>
      <c r="EG12" s="123">
        <f t="shared" ref="EG12:GR12" si="28">EF12+EG11</f>
        <v>2677596.6775000007</v>
      </c>
      <c r="EH12" s="123">
        <f t="shared" si="28"/>
        <v>2677596.6775000007</v>
      </c>
      <c r="EI12" s="123">
        <f t="shared" si="28"/>
        <v>2677596.6775000007</v>
      </c>
      <c r="EJ12" s="123">
        <f t="shared" si="28"/>
        <v>2677596.6775000007</v>
      </c>
      <c r="EK12" s="123">
        <f t="shared" si="28"/>
        <v>2677596.6775000007</v>
      </c>
      <c r="EL12" s="123">
        <f t="shared" si="28"/>
        <v>2677596.6775000007</v>
      </c>
      <c r="EM12" s="123">
        <f t="shared" si="28"/>
        <v>2677596.6775000007</v>
      </c>
      <c r="EN12" s="123">
        <f t="shared" si="28"/>
        <v>2677596.6775000007</v>
      </c>
      <c r="EO12" s="123">
        <f t="shared" si="28"/>
        <v>2677596.6775000007</v>
      </c>
      <c r="EP12" s="123">
        <f t="shared" si="28"/>
        <v>2677596.6775000007</v>
      </c>
      <c r="EQ12" s="123">
        <f t="shared" si="28"/>
        <v>2677596.6775000007</v>
      </c>
      <c r="ER12" s="123">
        <f t="shared" si="28"/>
        <v>2677596.6775000007</v>
      </c>
      <c r="ES12" s="123">
        <f t="shared" si="28"/>
        <v>2677596.6775000007</v>
      </c>
      <c r="ET12" s="123">
        <f t="shared" si="28"/>
        <v>2677596.6775000007</v>
      </c>
      <c r="EU12" s="123">
        <f t="shared" si="28"/>
        <v>2677596.6775000007</v>
      </c>
      <c r="EV12" s="123">
        <f t="shared" si="28"/>
        <v>2677596.6775000007</v>
      </c>
      <c r="EW12" s="123">
        <f t="shared" si="28"/>
        <v>2677596.6775000007</v>
      </c>
      <c r="EX12" s="123">
        <f t="shared" si="28"/>
        <v>2677596.6775000007</v>
      </c>
      <c r="EY12" s="123">
        <f t="shared" si="28"/>
        <v>2677596.6775000007</v>
      </c>
      <c r="EZ12" s="123">
        <f t="shared" si="28"/>
        <v>2677596.6775000007</v>
      </c>
      <c r="FA12" s="123">
        <f t="shared" si="28"/>
        <v>2677596.6775000007</v>
      </c>
      <c r="FB12" s="123">
        <f t="shared" si="28"/>
        <v>2677596.6775000007</v>
      </c>
      <c r="FC12" s="123">
        <f t="shared" si="28"/>
        <v>2677596.6775000007</v>
      </c>
      <c r="FD12" s="123">
        <f t="shared" si="28"/>
        <v>2677596.6775000007</v>
      </c>
      <c r="FE12" s="123">
        <f t="shared" si="28"/>
        <v>2677596.6775000007</v>
      </c>
      <c r="FF12" s="123">
        <f t="shared" si="28"/>
        <v>2677596.6775000007</v>
      </c>
      <c r="FG12" s="123">
        <f t="shared" si="28"/>
        <v>2677596.6775000007</v>
      </c>
      <c r="FH12" s="123">
        <f t="shared" si="28"/>
        <v>2677596.6775000007</v>
      </c>
      <c r="FI12" s="123">
        <f t="shared" si="28"/>
        <v>2677596.6775000007</v>
      </c>
      <c r="FJ12" s="123">
        <f t="shared" si="28"/>
        <v>2677596.6775000007</v>
      </c>
      <c r="FK12" s="123">
        <f t="shared" si="28"/>
        <v>2677596.6775000007</v>
      </c>
      <c r="FL12" s="123">
        <f t="shared" si="28"/>
        <v>2677596.6775000007</v>
      </c>
      <c r="FM12" s="123">
        <f t="shared" si="28"/>
        <v>2677596.6775000007</v>
      </c>
      <c r="FN12" s="123">
        <f t="shared" si="28"/>
        <v>2677596.6775000007</v>
      </c>
      <c r="FO12" s="123">
        <f t="shared" si="28"/>
        <v>2677596.6775000007</v>
      </c>
      <c r="FP12" s="123">
        <f t="shared" si="28"/>
        <v>2677596.6775000007</v>
      </c>
      <c r="FQ12" s="123">
        <f t="shared" si="28"/>
        <v>2677596.6775000007</v>
      </c>
      <c r="FR12" s="123">
        <f t="shared" si="28"/>
        <v>2677596.6775000007</v>
      </c>
      <c r="FS12" s="123">
        <f t="shared" si="28"/>
        <v>2677596.6775000007</v>
      </c>
      <c r="FT12" s="123">
        <f t="shared" si="28"/>
        <v>2677596.6775000007</v>
      </c>
      <c r="FU12" s="123">
        <f t="shared" si="28"/>
        <v>2677596.6775000007</v>
      </c>
      <c r="FV12" s="123">
        <f t="shared" si="28"/>
        <v>2677596.6775000007</v>
      </c>
      <c r="FW12" s="123">
        <f t="shared" si="28"/>
        <v>2677596.6775000007</v>
      </c>
      <c r="FX12" s="123">
        <f t="shared" si="28"/>
        <v>2677596.6775000007</v>
      </c>
      <c r="FY12" s="123">
        <f t="shared" si="28"/>
        <v>2677596.6775000007</v>
      </c>
      <c r="FZ12" s="123">
        <f t="shared" si="28"/>
        <v>2677596.6775000007</v>
      </c>
      <c r="GA12" s="123">
        <f t="shared" si="28"/>
        <v>2677596.6775000007</v>
      </c>
      <c r="GB12" s="123">
        <f t="shared" si="28"/>
        <v>2677596.6775000007</v>
      </c>
      <c r="GC12" s="123">
        <f t="shared" si="28"/>
        <v>2677596.6775000007</v>
      </c>
      <c r="GD12" s="123">
        <f t="shared" si="28"/>
        <v>2677596.6775000007</v>
      </c>
      <c r="GE12" s="123">
        <f t="shared" si="28"/>
        <v>2677596.6775000007</v>
      </c>
      <c r="GF12" s="123">
        <f t="shared" si="28"/>
        <v>2677596.6775000007</v>
      </c>
      <c r="GG12" s="123">
        <f t="shared" si="28"/>
        <v>2677596.6775000007</v>
      </c>
      <c r="GH12" s="123">
        <f t="shared" si="28"/>
        <v>2677596.6775000007</v>
      </c>
      <c r="GI12" s="123">
        <f t="shared" si="28"/>
        <v>2677596.6775000007</v>
      </c>
      <c r="GJ12" s="123">
        <f t="shared" si="28"/>
        <v>2677596.6775000007</v>
      </c>
      <c r="GK12" s="123">
        <f t="shared" si="28"/>
        <v>2677596.6775000007</v>
      </c>
      <c r="GL12" s="123">
        <f t="shared" si="28"/>
        <v>2677596.6775000007</v>
      </c>
      <c r="GM12" s="123">
        <f t="shared" si="28"/>
        <v>2677596.6775000007</v>
      </c>
      <c r="GN12" s="123">
        <f t="shared" si="28"/>
        <v>2677596.6775000007</v>
      </c>
      <c r="GO12" s="123">
        <f t="shared" si="28"/>
        <v>2677596.6775000007</v>
      </c>
      <c r="GP12" s="123">
        <f t="shared" si="28"/>
        <v>2677596.6775000007</v>
      </c>
      <c r="GQ12" s="123">
        <f t="shared" si="28"/>
        <v>2677596.6775000007</v>
      </c>
      <c r="GR12" s="123">
        <f t="shared" si="28"/>
        <v>2677596.6775000007</v>
      </c>
      <c r="GS12" s="123">
        <f t="shared" ref="GS12:JD12" si="29">GR12+GS11</f>
        <v>2677596.6775000007</v>
      </c>
      <c r="GT12" s="123">
        <f t="shared" si="29"/>
        <v>2677596.6775000007</v>
      </c>
      <c r="GU12" s="123">
        <f t="shared" si="29"/>
        <v>2677596.6775000007</v>
      </c>
      <c r="GV12" s="123">
        <f t="shared" si="29"/>
        <v>2677596.6775000007</v>
      </c>
      <c r="GW12" s="123">
        <f t="shared" si="29"/>
        <v>2677596.6775000007</v>
      </c>
      <c r="GX12" s="123">
        <f t="shared" si="29"/>
        <v>2677596.6775000007</v>
      </c>
      <c r="GY12" s="123">
        <f t="shared" si="29"/>
        <v>2677596.6775000007</v>
      </c>
      <c r="GZ12" s="123">
        <f t="shared" si="29"/>
        <v>2677596.6775000007</v>
      </c>
      <c r="HA12" s="123">
        <f t="shared" si="29"/>
        <v>2677596.6775000007</v>
      </c>
      <c r="HB12" s="123">
        <f t="shared" si="29"/>
        <v>2677596.6775000007</v>
      </c>
      <c r="HC12" s="123">
        <f t="shared" si="29"/>
        <v>2677596.6775000007</v>
      </c>
      <c r="HD12" s="123">
        <f t="shared" si="29"/>
        <v>2677596.6775000007</v>
      </c>
      <c r="HE12" s="123">
        <f t="shared" si="29"/>
        <v>2677596.6775000007</v>
      </c>
      <c r="HF12" s="123">
        <f t="shared" si="29"/>
        <v>2677596.6775000007</v>
      </c>
      <c r="HG12" s="123">
        <f t="shared" si="29"/>
        <v>2677596.6775000007</v>
      </c>
      <c r="HH12" s="123">
        <f t="shared" si="29"/>
        <v>2677596.6775000007</v>
      </c>
      <c r="HI12" s="123">
        <f t="shared" si="29"/>
        <v>2677596.6775000007</v>
      </c>
      <c r="HJ12" s="123">
        <f t="shared" si="29"/>
        <v>2677596.6775000007</v>
      </c>
      <c r="HK12" s="123">
        <f t="shared" si="29"/>
        <v>2677596.6775000007</v>
      </c>
      <c r="HL12" s="123">
        <f t="shared" si="29"/>
        <v>2677596.6775000007</v>
      </c>
      <c r="HM12" s="123">
        <f t="shared" si="29"/>
        <v>2677596.6775000007</v>
      </c>
      <c r="HN12" s="123">
        <f t="shared" si="29"/>
        <v>2677596.6775000007</v>
      </c>
      <c r="HO12" s="123">
        <f t="shared" si="29"/>
        <v>2677596.6775000007</v>
      </c>
      <c r="HP12" s="123">
        <f t="shared" si="29"/>
        <v>2677596.6775000007</v>
      </c>
      <c r="HQ12" s="123">
        <f t="shared" si="29"/>
        <v>2677596.6775000007</v>
      </c>
      <c r="HR12" s="123">
        <f t="shared" si="29"/>
        <v>2677596.6775000007</v>
      </c>
      <c r="HS12" s="123">
        <f t="shared" si="29"/>
        <v>2677596.6775000007</v>
      </c>
      <c r="HT12" s="123">
        <f t="shared" si="29"/>
        <v>2677596.6775000007</v>
      </c>
      <c r="HU12" s="123">
        <f t="shared" si="29"/>
        <v>2677596.6775000007</v>
      </c>
      <c r="HV12" s="123">
        <f t="shared" si="29"/>
        <v>2677596.6775000007</v>
      </c>
      <c r="HW12" s="123">
        <f t="shared" si="29"/>
        <v>2677596.6775000007</v>
      </c>
      <c r="HX12" s="123">
        <f t="shared" si="29"/>
        <v>2677596.6775000007</v>
      </c>
      <c r="HY12" s="123">
        <f t="shared" si="29"/>
        <v>2677596.6775000007</v>
      </c>
      <c r="HZ12" s="123">
        <f t="shared" si="29"/>
        <v>2677596.6775000007</v>
      </c>
      <c r="IA12" s="123">
        <f t="shared" si="29"/>
        <v>2677596.6775000007</v>
      </c>
      <c r="IB12" s="123">
        <f t="shared" si="29"/>
        <v>2677596.6775000007</v>
      </c>
      <c r="IC12" s="123">
        <f t="shared" si="29"/>
        <v>2677596.6775000007</v>
      </c>
      <c r="ID12" s="123">
        <f t="shared" si="29"/>
        <v>2677596.6775000007</v>
      </c>
      <c r="IE12" s="123">
        <f t="shared" si="29"/>
        <v>2677596.6775000007</v>
      </c>
      <c r="IF12" s="123">
        <f t="shared" si="29"/>
        <v>2677596.6775000007</v>
      </c>
      <c r="IG12" s="123">
        <f t="shared" si="29"/>
        <v>2677596.6775000007</v>
      </c>
      <c r="IH12" s="123">
        <f t="shared" si="29"/>
        <v>2677596.6775000007</v>
      </c>
      <c r="II12" s="123">
        <f t="shared" si="29"/>
        <v>2677596.6775000007</v>
      </c>
      <c r="IJ12" s="123">
        <f t="shared" si="29"/>
        <v>2677596.6775000007</v>
      </c>
      <c r="IK12" s="123">
        <f t="shared" si="29"/>
        <v>2677596.6775000007</v>
      </c>
      <c r="IL12" s="123">
        <f t="shared" si="29"/>
        <v>2677596.6775000007</v>
      </c>
      <c r="IM12" s="123">
        <f t="shared" si="29"/>
        <v>2677596.6775000007</v>
      </c>
      <c r="IN12" s="123">
        <f t="shared" si="29"/>
        <v>2677596.6775000007</v>
      </c>
      <c r="IO12" s="123">
        <f t="shared" si="29"/>
        <v>2677596.6775000007</v>
      </c>
      <c r="IP12" s="123">
        <f t="shared" si="29"/>
        <v>2677596.6775000007</v>
      </c>
      <c r="IQ12" s="123">
        <f t="shared" si="29"/>
        <v>2677596.6775000007</v>
      </c>
      <c r="IR12" s="123">
        <f t="shared" si="29"/>
        <v>2677596.6775000007</v>
      </c>
      <c r="IS12" s="123">
        <f t="shared" si="29"/>
        <v>2677596.6775000007</v>
      </c>
      <c r="IT12" s="123">
        <f t="shared" si="29"/>
        <v>2677596.6775000007</v>
      </c>
      <c r="IU12" s="123">
        <f t="shared" si="29"/>
        <v>2677596.6775000007</v>
      </c>
      <c r="IV12" s="123">
        <f t="shared" si="29"/>
        <v>2677596.6775000007</v>
      </c>
      <c r="IW12" s="123">
        <f t="shared" si="29"/>
        <v>2677596.6775000007</v>
      </c>
      <c r="IX12" s="123">
        <f t="shared" si="29"/>
        <v>2677596.6775000007</v>
      </c>
      <c r="IY12" s="123">
        <f t="shared" si="29"/>
        <v>2677596.6775000007</v>
      </c>
      <c r="IZ12" s="123">
        <f t="shared" si="29"/>
        <v>2677596.6775000007</v>
      </c>
      <c r="JA12" s="123">
        <f t="shared" si="29"/>
        <v>2677596.6775000007</v>
      </c>
      <c r="JB12" s="123">
        <f t="shared" si="29"/>
        <v>2677596.6775000007</v>
      </c>
      <c r="JC12" s="123">
        <f t="shared" si="29"/>
        <v>2677596.6775000007</v>
      </c>
      <c r="JD12" s="123">
        <f t="shared" si="29"/>
        <v>2677596.6775000007</v>
      </c>
      <c r="JE12" s="123">
        <f t="shared" ref="JE12:KF12" si="30">JD12+JE11</f>
        <v>2677596.6775000007</v>
      </c>
      <c r="JF12" s="123">
        <f t="shared" si="30"/>
        <v>2677596.6775000007</v>
      </c>
      <c r="JG12" s="123">
        <f t="shared" si="30"/>
        <v>2677596.6775000007</v>
      </c>
      <c r="JH12" s="123">
        <f t="shared" si="30"/>
        <v>2677596.6775000007</v>
      </c>
      <c r="JI12" s="123">
        <f t="shared" si="30"/>
        <v>2677596.6775000007</v>
      </c>
      <c r="JJ12" s="123">
        <f t="shared" si="30"/>
        <v>2677596.6775000007</v>
      </c>
      <c r="JK12" s="123">
        <f t="shared" si="30"/>
        <v>2677596.6775000007</v>
      </c>
      <c r="JL12" s="123">
        <f t="shared" si="30"/>
        <v>2677596.6775000007</v>
      </c>
      <c r="JM12" s="123">
        <f t="shared" si="30"/>
        <v>2677596.6775000007</v>
      </c>
      <c r="JN12" s="123">
        <f t="shared" si="30"/>
        <v>2677596.6775000007</v>
      </c>
      <c r="JO12" s="123">
        <f t="shared" si="30"/>
        <v>2677596.6775000007</v>
      </c>
      <c r="JP12" s="123">
        <f t="shared" si="30"/>
        <v>2677596.6775000007</v>
      </c>
      <c r="JQ12" s="123">
        <f t="shared" si="30"/>
        <v>2677596.6775000007</v>
      </c>
      <c r="JR12" s="123">
        <f t="shared" si="30"/>
        <v>2677596.6775000007</v>
      </c>
      <c r="JS12" s="123">
        <f t="shared" si="30"/>
        <v>2677596.6775000007</v>
      </c>
      <c r="JT12" s="123">
        <f t="shared" si="30"/>
        <v>2677596.6775000007</v>
      </c>
      <c r="JU12" s="123">
        <f t="shared" si="30"/>
        <v>2677596.6775000007</v>
      </c>
      <c r="JV12" s="123">
        <f t="shared" si="30"/>
        <v>2677596.6775000007</v>
      </c>
      <c r="JW12" s="123">
        <f t="shared" si="30"/>
        <v>2677596.6775000007</v>
      </c>
      <c r="JX12" s="123">
        <f t="shared" si="30"/>
        <v>2677596.6775000007</v>
      </c>
      <c r="JY12" s="123">
        <f t="shared" si="30"/>
        <v>2677596.6775000007</v>
      </c>
      <c r="JZ12" s="123">
        <f t="shared" si="30"/>
        <v>2677596.6775000007</v>
      </c>
      <c r="KA12" s="123">
        <f t="shared" si="30"/>
        <v>2677596.6775000007</v>
      </c>
      <c r="KB12" s="123">
        <f t="shared" si="30"/>
        <v>2677596.6775000007</v>
      </c>
      <c r="KC12" s="123">
        <f t="shared" si="30"/>
        <v>2677596.6775000007</v>
      </c>
      <c r="KD12" s="123">
        <f t="shared" si="30"/>
        <v>2677596.6775000007</v>
      </c>
      <c r="KE12" s="123">
        <f t="shared" si="30"/>
        <v>2677596.6775000007</v>
      </c>
      <c r="KF12" s="123">
        <f t="shared" si="30"/>
        <v>2677596.6775000007</v>
      </c>
      <c r="KG12" s="100"/>
      <c r="KH12" s="111"/>
    </row>
    <row r="13" spans="1:770" s="100" customFormat="1">
      <c r="A13" s="794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94"/>
      <c r="B14" s="113" t="s">
        <v>533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-109237.91650416655</v>
      </c>
      <c r="AC14" s="116">
        <f t="shared" si="32"/>
        <v>172289.59349583322</v>
      </c>
      <c r="AD14" s="116">
        <f t="shared" si="32"/>
        <v>172289.59349583322</v>
      </c>
      <c r="AE14" s="116">
        <f t="shared" si="32"/>
        <v>83264.381995833013</v>
      </c>
      <c r="AF14" s="116">
        <f t="shared" si="32"/>
        <v>79764.381995833013</v>
      </c>
      <c r="AG14" s="116">
        <f t="shared" si="32"/>
        <v>79764.381995833013</v>
      </c>
      <c r="AH14" s="116">
        <f t="shared" si="32"/>
        <v>79764.381995833013</v>
      </c>
      <c r="AI14" s="116">
        <f t="shared" si="32"/>
        <v>79764.381995833013</v>
      </c>
      <c r="AJ14" s="116">
        <f t="shared" si="32"/>
        <v>79764.381995833013</v>
      </c>
      <c r="AK14" s="116">
        <f t="shared" si="32"/>
        <v>79764.381995833013</v>
      </c>
      <c r="AL14" s="116">
        <f t="shared" si="32"/>
        <v>79764.381995833013</v>
      </c>
      <c r="AM14" s="116">
        <f t="shared" si="32"/>
        <v>79764.381995833013</v>
      </c>
      <c r="AN14" s="116">
        <f t="shared" si="32"/>
        <v>79764.381995833013</v>
      </c>
      <c r="AO14" s="116">
        <f t="shared" si="32"/>
        <v>79764.381995833013</v>
      </c>
      <c r="AP14" s="116">
        <f t="shared" si="32"/>
        <v>142458.24199583288</v>
      </c>
      <c r="AQ14" s="116">
        <f t="shared" si="32"/>
        <v>142458.24199583288</v>
      </c>
      <c r="AR14" s="116">
        <f t="shared" si="32"/>
        <v>142458.24199583288</v>
      </c>
      <c r="AS14" s="116">
        <f t="shared" si="32"/>
        <v>142458.24199583288</v>
      </c>
      <c r="AT14" s="116">
        <f t="shared" si="32"/>
        <v>142458.24199583288</v>
      </c>
      <c r="AU14" s="116">
        <f t="shared" si="32"/>
        <v>142458.24199583288</v>
      </c>
      <c r="AV14" s="116">
        <f t="shared" si="32"/>
        <v>142458.24199583288</v>
      </c>
      <c r="AW14" s="116">
        <f t="shared" si="32"/>
        <v>142458.24199583288</v>
      </c>
      <c r="AX14" s="116">
        <f t="shared" si="32"/>
        <v>142458.24199583288</v>
      </c>
      <c r="AY14" s="116">
        <f t="shared" si="32"/>
        <v>142458.24199583288</v>
      </c>
      <c r="AZ14" s="116">
        <f t="shared" si="32"/>
        <v>142458.24199583288</v>
      </c>
      <c r="BA14" s="116">
        <f t="shared" si="32"/>
        <v>142458.24199583288</v>
      </c>
      <c r="BB14" s="116">
        <f t="shared" si="32"/>
        <v>142458.24199583288</v>
      </c>
      <c r="BC14" s="116">
        <f t="shared" si="32"/>
        <v>142458.24199583288</v>
      </c>
      <c r="BD14" s="116">
        <f t="shared" si="32"/>
        <v>142458.24199583288</v>
      </c>
      <c r="BE14" s="116">
        <f t="shared" si="32"/>
        <v>142458.24199583288</v>
      </c>
      <c r="BF14" s="116">
        <f t="shared" si="32"/>
        <v>142458.24199583288</v>
      </c>
      <c r="BG14" s="116">
        <f t="shared" si="32"/>
        <v>142458.24199583288</v>
      </c>
      <c r="BH14" s="116">
        <f t="shared" si="32"/>
        <v>142458.24199583288</v>
      </c>
      <c r="BI14" s="116">
        <f t="shared" si="32"/>
        <v>142458.24199583288</v>
      </c>
      <c r="BJ14" s="116">
        <f t="shared" si="32"/>
        <v>142458.24199583288</v>
      </c>
      <c r="BK14" s="116">
        <f t="shared" si="32"/>
        <v>142458.24199583288</v>
      </c>
      <c r="BL14" s="116">
        <f t="shared" si="32"/>
        <v>142458.24199583288</v>
      </c>
      <c r="BM14" s="116">
        <f t="shared" si="32"/>
        <v>142458.24199583288</v>
      </c>
      <c r="BN14" s="116">
        <f t="shared" si="32"/>
        <v>142458.24199583288</v>
      </c>
      <c r="BO14" s="116">
        <f t="shared" si="32"/>
        <v>142458.24199583288</v>
      </c>
      <c r="BP14" s="116">
        <f t="shared" si="32"/>
        <v>142458.24199583288</v>
      </c>
      <c r="BQ14" s="116">
        <f t="shared" si="32"/>
        <v>142458.24199583288</v>
      </c>
      <c r="BR14" s="116">
        <f t="shared" si="32"/>
        <v>142458.24199583288</v>
      </c>
      <c r="BS14" s="116">
        <f t="shared" si="32"/>
        <v>142458.24199583288</v>
      </c>
      <c r="BT14" s="116">
        <f t="shared" si="32"/>
        <v>142458.24199583288</v>
      </c>
      <c r="BU14" s="116">
        <f t="shared" ref="BU14:EF14" si="33">BU10-BU12</f>
        <v>142458.24199583288</v>
      </c>
      <c r="BV14" s="116">
        <f t="shared" si="33"/>
        <v>142458.24199583288</v>
      </c>
      <c r="BW14" s="116">
        <f t="shared" si="33"/>
        <v>142458.24199583288</v>
      </c>
      <c r="BX14" s="116">
        <f t="shared" si="33"/>
        <v>142458.24199583288</v>
      </c>
      <c r="BY14" s="116">
        <f t="shared" si="33"/>
        <v>142458.24199583288</v>
      </c>
      <c r="BZ14" s="116">
        <f t="shared" si="33"/>
        <v>142458.24199583288</v>
      </c>
      <c r="CA14" s="116">
        <f t="shared" si="33"/>
        <v>142458.24199583288</v>
      </c>
      <c r="CB14" s="116">
        <f t="shared" si="33"/>
        <v>142458.24199583288</v>
      </c>
      <c r="CC14" s="116">
        <f t="shared" si="33"/>
        <v>142458.24199583288</v>
      </c>
      <c r="CD14" s="116">
        <f t="shared" si="33"/>
        <v>142458.24199583288</v>
      </c>
      <c r="CE14" s="116">
        <f t="shared" si="33"/>
        <v>142458.24199583288</v>
      </c>
      <c r="CF14" s="116">
        <f t="shared" si="33"/>
        <v>142458.24199583288</v>
      </c>
      <c r="CG14" s="116">
        <f t="shared" si="33"/>
        <v>142458.24199583288</v>
      </c>
      <c r="CH14" s="116">
        <f t="shared" si="33"/>
        <v>142458.24199583288</v>
      </c>
      <c r="CI14" s="116">
        <f t="shared" si="33"/>
        <v>142458.24199583288</v>
      </c>
      <c r="CJ14" s="116">
        <f t="shared" si="33"/>
        <v>142458.24199583288</v>
      </c>
      <c r="CK14" s="116">
        <f t="shared" si="33"/>
        <v>142458.24199583288</v>
      </c>
      <c r="CL14" s="116">
        <f t="shared" si="33"/>
        <v>142458.24199583288</v>
      </c>
      <c r="CM14" s="116">
        <f t="shared" si="33"/>
        <v>142458.24199583288</v>
      </c>
      <c r="CN14" s="116">
        <f t="shared" si="33"/>
        <v>142458.24199583288</v>
      </c>
      <c r="CO14" s="116">
        <f t="shared" si="33"/>
        <v>142458.24199583288</v>
      </c>
      <c r="CP14" s="116">
        <f t="shared" si="33"/>
        <v>142458.24199583288</v>
      </c>
      <c r="CQ14" s="116">
        <f t="shared" si="33"/>
        <v>142458.24199583288</v>
      </c>
      <c r="CR14" s="116">
        <f t="shared" si="33"/>
        <v>142458.24199583288</v>
      </c>
      <c r="CS14" s="116">
        <f t="shared" si="33"/>
        <v>142458.24199583288</v>
      </c>
      <c r="CT14" s="116">
        <f t="shared" si="33"/>
        <v>142458.24199583288</v>
      </c>
      <c r="CU14" s="116">
        <f t="shared" si="33"/>
        <v>142458.24199583288</v>
      </c>
      <c r="CV14" s="116">
        <f t="shared" si="33"/>
        <v>142458.24199583288</v>
      </c>
      <c r="CW14" s="116">
        <f t="shared" si="33"/>
        <v>142458.24199583288</v>
      </c>
      <c r="CX14" s="116">
        <f t="shared" si="33"/>
        <v>142458.24199583288</v>
      </c>
      <c r="CY14" s="116">
        <f t="shared" si="33"/>
        <v>142458.24199583288</v>
      </c>
      <c r="CZ14" s="116">
        <f t="shared" si="33"/>
        <v>142458.24199583288</v>
      </c>
      <c r="DA14" s="116">
        <f t="shared" si="33"/>
        <v>142458.24199583288</v>
      </c>
      <c r="DB14" s="116">
        <f t="shared" si="33"/>
        <v>142458.24199583288</v>
      </c>
      <c r="DC14" s="116">
        <f t="shared" si="33"/>
        <v>142458.24199583288</v>
      </c>
      <c r="DD14" s="116">
        <f t="shared" si="33"/>
        <v>142458.24199583288</v>
      </c>
      <c r="DE14" s="116">
        <f t="shared" si="33"/>
        <v>142458.24199583288</v>
      </c>
      <c r="DF14" s="116">
        <f t="shared" si="33"/>
        <v>142458.24199583288</v>
      </c>
      <c r="DG14" s="116">
        <f t="shared" si="33"/>
        <v>142458.24199583288</v>
      </c>
      <c r="DH14" s="116">
        <f t="shared" si="33"/>
        <v>142458.24199583288</v>
      </c>
      <c r="DI14" s="116">
        <f t="shared" si="33"/>
        <v>142458.24199583288</v>
      </c>
      <c r="DJ14" s="116">
        <f t="shared" si="33"/>
        <v>142458.24199583288</v>
      </c>
      <c r="DK14" s="116">
        <f t="shared" si="33"/>
        <v>142458.24199583288</v>
      </c>
      <c r="DL14" s="116">
        <f t="shared" si="33"/>
        <v>142458.24199583288</v>
      </c>
      <c r="DM14" s="116">
        <f t="shared" si="33"/>
        <v>142458.24199583288</v>
      </c>
      <c r="DN14" s="116">
        <f t="shared" si="33"/>
        <v>142458.24199583288</v>
      </c>
      <c r="DO14" s="116">
        <f t="shared" si="33"/>
        <v>142458.24199583288</v>
      </c>
      <c r="DP14" s="116">
        <f t="shared" si="33"/>
        <v>142458.24199583288</v>
      </c>
      <c r="DQ14" s="116">
        <f t="shared" si="33"/>
        <v>142458.24199583288</v>
      </c>
      <c r="DR14" s="116">
        <f t="shared" si="33"/>
        <v>142458.24199583288</v>
      </c>
      <c r="DS14" s="116">
        <f t="shared" si="33"/>
        <v>142458.24199583288</v>
      </c>
      <c r="DT14" s="116">
        <f t="shared" si="33"/>
        <v>142458.24199583288</v>
      </c>
      <c r="DU14" s="116">
        <f t="shared" si="33"/>
        <v>142458.24199583288</v>
      </c>
      <c r="DV14" s="116">
        <f t="shared" si="33"/>
        <v>142458.24199583288</v>
      </c>
      <c r="DW14" s="116">
        <f t="shared" si="33"/>
        <v>142458.24199583288</v>
      </c>
      <c r="DX14" s="116">
        <f t="shared" si="33"/>
        <v>142458.24199583288</v>
      </c>
      <c r="DY14" s="116">
        <f t="shared" si="33"/>
        <v>142458.24199583288</v>
      </c>
      <c r="DZ14" s="116">
        <f t="shared" si="33"/>
        <v>142458.24199583288</v>
      </c>
      <c r="EA14" s="116">
        <f t="shared" si="33"/>
        <v>142458.24199583288</v>
      </c>
      <c r="EB14" s="116">
        <f t="shared" si="33"/>
        <v>142458.24199583288</v>
      </c>
      <c r="EC14" s="116">
        <f t="shared" si="33"/>
        <v>142458.24199583288</v>
      </c>
      <c r="ED14" s="116">
        <f t="shared" si="33"/>
        <v>142458.24199583288</v>
      </c>
      <c r="EE14" s="116">
        <f t="shared" si="33"/>
        <v>142458.24199583288</v>
      </c>
      <c r="EF14" s="116">
        <f t="shared" si="33"/>
        <v>142458.24199583288</v>
      </c>
      <c r="EG14" s="116">
        <f t="shared" ref="EG14:GR14" si="34">EG10-EG12</f>
        <v>142458.24199583288</v>
      </c>
      <c r="EH14" s="116">
        <f t="shared" si="34"/>
        <v>142458.24199583288</v>
      </c>
      <c r="EI14" s="116">
        <f t="shared" si="34"/>
        <v>142458.24199583288</v>
      </c>
      <c r="EJ14" s="116">
        <f t="shared" si="34"/>
        <v>142458.24199583288</v>
      </c>
      <c r="EK14" s="116">
        <f t="shared" si="34"/>
        <v>142458.24199583288</v>
      </c>
      <c r="EL14" s="116">
        <f t="shared" si="34"/>
        <v>142458.24199583288</v>
      </c>
      <c r="EM14" s="116">
        <f t="shared" si="34"/>
        <v>142458.24199583288</v>
      </c>
      <c r="EN14" s="116">
        <f t="shared" si="34"/>
        <v>142458.24199583288</v>
      </c>
      <c r="EO14" s="116">
        <f t="shared" si="34"/>
        <v>142458.24199583288</v>
      </c>
      <c r="EP14" s="116">
        <f t="shared" si="34"/>
        <v>142458.24199583288</v>
      </c>
      <c r="EQ14" s="116">
        <f t="shared" si="34"/>
        <v>142458.24199583288</v>
      </c>
      <c r="ER14" s="116">
        <f t="shared" si="34"/>
        <v>142458.24199583288</v>
      </c>
      <c r="ES14" s="116">
        <f t="shared" si="34"/>
        <v>142458.24199583288</v>
      </c>
      <c r="ET14" s="116">
        <f t="shared" si="34"/>
        <v>142458.24199583288</v>
      </c>
      <c r="EU14" s="116">
        <f t="shared" si="34"/>
        <v>142458.24199583288</v>
      </c>
      <c r="EV14" s="116">
        <f t="shared" si="34"/>
        <v>142458.24199583288</v>
      </c>
      <c r="EW14" s="116">
        <f t="shared" si="34"/>
        <v>142458.24199583288</v>
      </c>
      <c r="EX14" s="116">
        <f t="shared" si="34"/>
        <v>142458.24199583288</v>
      </c>
      <c r="EY14" s="116">
        <f t="shared" si="34"/>
        <v>142458.24199583288</v>
      </c>
      <c r="EZ14" s="116">
        <f t="shared" si="34"/>
        <v>142458.24199583288</v>
      </c>
      <c r="FA14" s="116">
        <f t="shared" si="34"/>
        <v>142458.24199583288</v>
      </c>
      <c r="FB14" s="116">
        <f t="shared" si="34"/>
        <v>142458.24199583288</v>
      </c>
      <c r="FC14" s="116">
        <f t="shared" si="34"/>
        <v>142458.24199583288</v>
      </c>
      <c r="FD14" s="116">
        <f t="shared" si="34"/>
        <v>142458.24199583288</v>
      </c>
      <c r="FE14" s="116">
        <f t="shared" si="34"/>
        <v>142458.24199583288</v>
      </c>
      <c r="FF14" s="116">
        <f t="shared" si="34"/>
        <v>142458.24199583288</v>
      </c>
      <c r="FG14" s="116">
        <f t="shared" si="34"/>
        <v>142458.24199583288</v>
      </c>
      <c r="FH14" s="116">
        <f t="shared" si="34"/>
        <v>142458.24199583288</v>
      </c>
      <c r="FI14" s="116">
        <f t="shared" si="34"/>
        <v>142458.24199583288</v>
      </c>
      <c r="FJ14" s="116">
        <f t="shared" si="34"/>
        <v>142458.24199583288</v>
      </c>
      <c r="FK14" s="116">
        <f t="shared" si="34"/>
        <v>142458.24199583288</v>
      </c>
      <c r="FL14" s="116">
        <f t="shared" si="34"/>
        <v>142458.24199583288</v>
      </c>
      <c r="FM14" s="116">
        <f t="shared" si="34"/>
        <v>142458.24199583288</v>
      </c>
      <c r="FN14" s="116">
        <f t="shared" si="34"/>
        <v>142458.24199583288</v>
      </c>
      <c r="FO14" s="116">
        <f t="shared" si="34"/>
        <v>142458.24199583288</v>
      </c>
      <c r="FP14" s="116">
        <f t="shared" si="34"/>
        <v>142458.24199583288</v>
      </c>
      <c r="FQ14" s="116">
        <f t="shared" si="34"/>
        <v>142458.24199583288</v>
      </c>
      <c r="FR14" s="116">
        <f t="shared" si="34"/>
        <v>142458.24199583288</v>
      </c>
      <c r="FS14" s="116">
        <f t="shared" si="34"/>
        <v>142458.24199583288</v>
      </c>
      <c r="FT14" s="116">
        <f t="shared" si="34"/>
        <v>142458.24199583288</v>
      </c>
      <c r="FU14" s="116">
        <f t="shared" si="34"/>
        <v>142458.24199583288</v>
      </c>
      <c r="FV14" s="116">
        <f t="shared" si="34"/>
        <v>142458.24199583288</v>
      </c>
      <c r="FW14" s="116">
        <f t="shared" si="34"/>
        <v>142458.24199583288</v>
      </c>
      <c r="FX14" s="116">
        <f t="shared" si="34"/>
        <v>142458.24199583288</v>
      </c>
      <c r="FY14" s="116">
        <f t="shared" si="34"/>
        <v>142458.24199583288</v>
      </c>
      <c r="FZ14" s="116">
        <f t="shared" si="34"/>
        <v>142458.24199583288</v>
      </c>
      <c r="GA14" s="116">
        <f t="shared" si="34"/>
        <v>142458.24199583288</v>
      </c>
      <c r="GB14" s="116">
        <f t="shared" si="34"/>
        <v>142458.24199583288</v>
      </c>
      <c r="GC14" s="116">
        <f t="shared" si="34"/>
        <v>142458.24199583288</v>
      </c>
      <c r="GD14" s="116">
        <f t="shared" si="34"/>
        <v>142458.24199583288</v>
      </c>
      <c r="GE14" s="116">
        <f t="shared" si="34"/>
        <v>142458.24199583288</v>
      </c>
      <c r="GF14" s="116">
        <f t="shared" si="34"/>
        <v>142458.24199583288</v>
      </c>
      <c r="GG14" s="116">
        <f t="shared" si="34"/>
        <v>142458.24199583288</v>
      </c>
      <c r="GH14" s="116">
        <f t="shared" si="34"/>
        <v>142458.24199583288</v>
      </c>
      <c r="GI14" s="116">
        <f t="shared" si="34"/>
        <v>142458.24199583288</v>
      </c>
      <c r="GJ14" s="116">
        <f t="shared" si="34"/>
        <v>142458.24199583288</v>
      </c>
      <c r="GK14" s="116">
        <f t="shared" si="34"/>
        <v>142458.24199583288</v>
      </c>
      <c r="GL14" s="116">
        <f t="shared" si="34"/>
        <v>142458.24199583288</v>
      </c>
      <c r="GM14" s="116">
        <f t="shared" si="34"/>
        <v>142458.24199583288</v>
      </c>
      <c r="GN14" s="116">
        <f t="shared" si="34"/>
        <v>142458.24199583288</v>
      </c>
      <c r="GO14" s="116">
        <f t="shared" si="34"/>
        <v>142458.24199583288</v>
      </c>
      <c r="GP14" s="116">
        <f t="shared" si="34"/>
        <v>142458.24199583288</v>
      </c>
      <c r="GQ14" s="116">
        <f t="shared" si="34"/>
        <v>142458.24199583288</v>
      </c>
      <c r="GR14" s="116">
        <f t="shared" si="34"/>
        <v>142458.24199583288</v>
      </c>
      <c r="GS14" s="116">
        <f t="shared" ref="GS14:JD14" si="35">GS10-GS12</f>
        <v>142458.24199583288</v>
      </c>
      <c r="GT14" s="116">
        <f t="shared" si="35"/>
        <v>142458.24199583288</v>
      </c>
      <c r="GU14" s="116">
        <f t="shared" si="35"/>
        <v>142458.24199583288</v>
      </c>
      <c r="GV14" s="116">
        <f t="shared" si="35"/>
        <v>142458.24199583288</v>
      </c>
      <c r="GW14" s="116">
        <f t="shared" si="35"/>
        <v>142458.24199583288</v>
      </c>
      <c r="GX14" s="116">
        <f t="shared" si="35"/>
        <v>142458.24199583288</v>
      </c>
      <c r="GY14" s="116">
        <f t="shared" si="35"/>
        <v>142458.24199583288</v>
      </c>
      <c r="GZ14" s="116">
        <f t="shared" si="35"/>
        <v>142458.24199583288</v>
      </c>
      <c r="HA14" s="116">
        <f t="shared" si="35"/>
        <v>142458.24199583288</v>
      </c>
      <c r="HB14" s="116">
        <f t="shared" si="35"/>
        <v>142458.24199583288</v>
      </c>
      <c r="HC14" s="116">
        <f t="shared" si="35"/>
        <v>142458.24199583288</v>
      </c>
      <c r="HD14" s="116">
        <f t="shared" si="35"/>
        <v>142458.24199583288</v>
      </c>
      <c r="HE14" s="116">
        <f t="shared" si="35"/>
        <v>142458.24199583288</v>
      </c>
      <c r="HF14" s="116">
        <f t="shared" si="35"/>
        <v>142458.24199583288</v>
      </c>
      <c r="HG14" s="116">
        <f t="shared" si="35"/>
        <v>142458.24199583288</v>
      </c>
      <c r="HH14" s="116">
        <f t="shared" si="35"/>
        <v>142458.24199583288</v>
      </c>
      <c r="HI14" s="116">
        <f t="shared" si="35"/>
        <v>142458.24199583288</v>
      </c>
      <c r="HJ14" s="116">
        <f t="shared" si="35"/>
        <v>142458.24199583288</v>
      </c>
      <c r="HK14" s="116">
        <f t="shared" si="35"/>
        <v>142458.24199583288</v>
      </c>
      <c r="HL14" s="116">
        <f t="shared" si="35"/>
        <v>142458.24199583288</v>
      </c>
      <c r="HM14" s="116">
        <f t="shared" si="35"/>
        <v>142458.24199583288</v>
      </c>
      <c r="HN14" s="116">
        <f t="shared" si="35"/>
        <v>142458.24199583288</v>
      </c>
      <c r="HO14" s="116">
        <f t="shared" si="35"/>
        <v>142458.24199583288</v>
      </c>
      <c r="HP14" s="116">
        <f t="shared" si="35"/>
        <v>142458.24199583288</v>
      </c>
      <c r="HQ14" s="116">
        <f t="shared" si="35"/>
        <v>142458.24199583288</v>
      </c>
      <c r="HR14" s="116">
        <f t="shared" si="35"/>
        <v>142458.24199583288</v>
      </c>
      <c r="HS14" s="116">
        <f t="shared" si="35"/>
        <v>142458.24199583288</v>
      </c>
      <c r="HT14" s="116">
        <f t="shared" si="35"/>
        <v>142458.24199583288</v>
      </c>
      <c r="HU14" s="116">
        <f t="shared" si="35"/>
        <v>142458.24199583288</v>
      </c>
      <c r="HV14" s="116">
        <f t="shared" si="35"/>
        <v>142458.24199583288</v>
      </c>
      <c r="HW14" s="116">
        <f t="shared" si="35"/>
        <v>142458.24199583288</v>
      </c>
      <c r="HX14" s="116">
        <f t="shared" si="35"/>
        <v>142458.24199583288</v>
      </c>
      <c r="HY14" s="116">
        <f t="shared" si="35"/>
        <v>142458.24199583288</v>
      </c>
      <c r="HZ14" s="116">
        <f t="shared" si="35"/>
        <v>142458.24199583288</v>
      </c>
      <c r="IA14" s="116">
        <f t="shared" si="35"/>
        <v>142458.24199583288</v>
      </c>
      <c r="IB14" s="116">
        <f t="shared" si="35"/>
        <v>142458.24199583288</v>
      </c>
      <c r="IC14" s="116">
        <f t="shared" si="35"/>
        <v>142458.24199583288</v>
      </c>
      <c r="ID14" s="116">
        <f t="shared" si="35"/>
        <v>142458.24199583288</v>
      </c>
      <c r="IE14" s="116">
        <f t="shared" si="35"/>
        <v>142458.24199583288</v>
      </c>
      <c r="IF14" s="116">
        <f t="shared" si="35"/>
        <v>142458.24199583288</v>
      </c>
      <c r="IG14" s="116">
        <f t="shared" si="35"/>
        <v>142458.24199583288</v>
      </c>
      <c r="IH14" s="116">
        <f t="shared" si="35"/>
        <v>142458.24199583288</v>
      </c>
      <c r="II14" s="116">
        <f t="shared" si="35"/>
        <v>142458.24199583288</v>
      </c>
      <c r="IJ14" s="116">
        <f t="shared" si="35"/>
        <v>142458.24199583288</v>
      </c>
      <c r="IK14" s="116">
        <f t="shared" si="35"/>
        <v>142458.24199583288</v>
      </c>
      <c r="IL14" s="116">
        <f t="shared" si="35"/>
        <v>142458.24199583288</v>
      </c>
      <c r="IM14" s="116">
        <f t="shared" si="35"/>
        <v>142458.24199583288</v>
      </c>
      <c r="IN14" s="116">
        <f t="shared" si="35"/>
        <v>142458.24199583288</v>
      </c>
      <c r="IO14" s="116">
        <f t="shared" si="35"/>
        <v>142458.24199583288</v>
      </c>
      <c r="IP14" s="116">
        <f t="shared" si="35"/>
        <v>142458.24199583288</v>
      </c>
      <c r="IQ14" s="116">
        <f t="shared" si="35"/>
        <v>142458.24199583288</v>
      </c>
      <c r="IR14" s="116">
        <f t="shared" si="35"/>
        <v>142458.24199583288</v>
      </c>
      <c r="IS14" s="116">
        <f t="shared" si="35"/>
        <v>142458.24199583288</v>
      </c>
      <c r="IT14" s="116">
        <f t="shared" si="35"/>
        <v>142458.24199583288</v>
      </c>
      <c r="IU14" s="116">
        <f t="shared" si="35"/>
        <v>142458.24199583288</v>
      </c>
      <c r="IV14" s="116">
        <f t="shared" si="35"/>
        <v>142458.24199583288</v>
      </c>
      <c r="IW14" s="116">
        <f t="shared" si="35"/>
        <v>142458.24199583288</v>
      </c>
      <c r="IX14" s="116">
        <f t="shared" si="35"/>
        <v>142458.24199583288</v>
      </c>
      <c r="IY14" s="116">
        <f t="shared" si="35"/>
        <v>142458.24199583288</v>
      </c>
      <c r="IZ14" s="116">
        <f t="shared" si="35"/>
        <v>142458.24199583288</v>
      </c>
      <c r="JA14" s="116">
        <f t="shared" si="35"/>
        <v>142458.24199583288</v>
      </c>
      <c r="JB14" s="116">
        <f t="shared" si="35"/>
        <v>142458.24199583288</v>
      </c>
      <c r="JC14" s="116">
        <f t="shared" si="35"/>
        <v>142458.24199583288</v>
      </c>
      <c r="JD14" s="116">
        <f t="shared" si="35"/>
        <v>142458.24199583288</v>
      </c>
      <c r="JE14" s="116">
        <f t="shared" ref="JE14:KF14" si="36">JE10-JE12</f>
        <v>142458.24199583288</v>
      </c>
      <c r="JF14" s="116">
        <f t="shared" si="36"/>
        <v>142458.24199583288</v>
      </c>
      <c r="JG14" s="116">
        <f t="shared" si="36"/>
        <v>142458.24199583288</v>
      </c>
      <c r="JH14" s="116">
        <f t="shared" si="36"/>
        <v>142458.24199583288</v>
      </c>
      <c r="JI14" s="116">
        <f t="shared" si="36"/>
        <v>142458.24199583288</v>
      </c>
      <c r="JJ14" s="116">
        <f t="shared" si="36"/>
        <v>142458.24199583288</v>
      </c>
      <c r="JK14" s="116">
        <f t="shared" si="36"/>
        <v>142458.24199583288</v>
      </c>
      <c r="JL14" s="116">
        <f t="shared" si="36"/>
        <v>142458.24199583288</v>
      </c>
      <c r="JM14" s="116">
        <f t="shared" si="36"/>
        <v>142458.24199583288</v>
      </c>
      <c r="JN14" s="116">
        <f t="shared" si="36"/>
        <v>142458.24199583288</v>
      </c>
      <c r="JO14" s="116">
        <f t="shared" si="36"/>
        <v>142458.24199583288</v>
      </c>
      <c r="JP14" s="116">
        <f t="shared" si="36"/>
        <v>142458.24199583288</v>
      </c>
      <c r="JQ14" s="116">
        <f t="shared" si="36"/>
        <v>142458.24199583288</v>
      </c>
      <c r="JR14" s="116">
        <f t="shared" si="36"/>
        <v>142458.24199583288</v>
      </c>
      <c r="JS14" s="116">
        <f t="shared" si="36"/>
        <v>142458.24199583288</v>
      </c>
      <c r="JT14" s="116">
        <f t="shared" si="36"/>
        <v>142458.24199583288</v>
      </c>
      <c r="JU14" s="116">
        <f t="shared" si="36"/>
        <v>142458.24199583288</v>
      </c>
      <c r="JV14" s="116">
        <f t="shared" si="36"/>
        <v>142458.24199583288</v>
      </c>
      <c r="JW14" s="116">
        <f t="shared" si="36"/>
        <v>142458.24199583288</v>
      </c>
      <c r="JX14" s="116">
        <f t="shared" si="36"/>
        <v>142458.24199583288</v>
      </c>
      <c r="JY14" s="116">
        <f t="shared" si="36"/>
        <v>142458.24199583288</v>
      </c>
      <c r="JZ14" s="116">
        <f t="shared" si="36"/>
        <v>142458.24199583288</v>
      </c>
      <c r="KA14" s="116">
        <f t="shared" si="36"/>
        <v>142458.24199583288</v>
      </c>
      <c r="KB14" s="116">
        <f t="shared" si="36"/>
        <v>142458.24199583288</v>
      </c>
      <c r="KC14" s="116">
        <f t="shared" si="36"/>
        <v>142458.24199583288</v>
      </c>
      <c r="KD14" s="116">
        <f t="shared" si="36"/>
        <v>142458.24199583288</v>
      </c>
      <c r="KE14" s="116">
        <f t="shared" si="36"/>
        <v>142458.24199583288</v>
      </c>
      <c r="KF14" s="116">
        <f t="shared" si="36"/>
        <v>142458.24199583288</v>
      </c>
    </row>
    <row r="15" spans="1:770" s="100" customFormat="1"/>
    <row r="16" spans="1:770" s="100" customFormat="1">
      <c r="C16" s="102" t="s">
        <v>303</v>
      </c>
      <c r="D16" s="102" t="s">
        <v>303</v>
      </c>
    </row>
    <row r="17" spans="1:292">
      <c r="A17" s="795"/>
      <c r="B17" s="104" t="s">
        <v>534</v>
      </c>
      <c r="C17" s="273">
        <f>C3-D17</f>
        <v>-211122.97597728018</v>
      </c>
      <c r="D17" s="105">
        <f>SUM(F17:KF17)</f>
        <v>2792653.9759772802</v>
      </c>
      <c r="E17" s="115"/>
      <c r="F17" s="123">
        <f>SUMIFS('Expenditure Breakdown'!$U$6:$U$193, 'Expenditure Breakdown'!$T$6:$T$193, "&gt;="&amp;F1,'Expenditure Breakdown'!$T$6:$T$193, "&lt;"&amp;G1)</f>
        <v>0</v>
      </c>
      <c r="G17" s="123">
        <f>SUMIFS('Expenditure Breakdown'!$U$6:$U$193, 'Expenditure Breakdown'!$T$6:$T$193, "&gt;="&amp;G1,'Expenditure Breakdown'!$T$6:$T$193, "&lt;"&amp;H1)</f>
        <v>0</v>
      </c>
      <c r="H17" s="123">
        <f>SUMIFS('Expenditure Breakdown'!$U$6:$U$193, 'Expenditure Breakdown'!$T$6:$T$193, "&gt;="&amp;H1,'Expenditure Breakdown'!$T$6:$T$193, "&lt;"&amp;I1)</f>
        <v>0</v>
      </c>
      <c r="I17" s="123">
        <f>SUMIFS('Expenditure Breakdown'!$U$6:$U$193, 'Expenditure Breakdown'!$T$6:$T$193, "&gt;="&amp;I1,'Expenditure Breakdown'!$T$6:$T$193, "&lt;"&amp;J1)</f>
        <v>0</v>
      </c>
      <c r="J17" s="123">
        <f>SUMIFS('Expenditure Breakdown'!$U$6:$U$193, 'Expenditure Breakdown'!$T$6:$T$193, "&gt;="&amp;J1,'Expenditure Breakdown'!$T$6:$T$193, "&lt;"&amp;K1)</f>
        <v>0</v>
      </c>
      <c r="K17" s="123">
        <f>SUMIFS('Expenditure Breakdown'!$U$6:$U$193, 'Expenditure Breakdown'!$T$6:$T$193, "&gt;="&amp;K1,'Expenditure Breakdown'!$T$6:$T$193, "&lt;"&amp;L1)</f>
        <v>0</v>
      </c>
      <c r="L17" s="123">
        <f>SUMIFS('Expenditure Breakdown'!$U$6:$U$193, 'Expenditure Breakdown'!$T$6:$T$193, "&gt;="&amp;L1,'Expenditure Breakdown'!$T$6:$T$193, "&lt;"&amp;M1)</f>
        <v>0</v>
      </c>
      <c r="M17" s="123">
        <f>SUMIFS('Expenditure Breakdown'!$U$6:$U$193, 'Expenditure Breakdown'!$T$6:$T$193, "&gt;="&amp;M1,'Expenditure Breakdown'!$T$6:$T$193, "&lt;"&amp;N1)</f>
        <v>0</v>
      </c>
      <c r="N17" s="123">
        <f>SUMIFS('Expenditure Breakdown'!$U$6:$U$193, 'Expenditure Breakdown'!$T$6:$T$193, "&gt;="&amp;N1,'Expenditure Breakdown'!$T$6:$T$193, "&lt;"&amp;O1)</f>
        <v>1304579.4081294227</v>
      </c>
      <c r="O17" s="123">
        <f>SUMIFS('Expenditure Breakdown'!$U$6:$U$193, 'Expenditure Breakdown'!$T$6:$T$193, "&gt;="&amp;O1,'Expenditure Breakdown'!$T$6:$T$193, "&lt;"&amp;P1)</f>
        <v>0</v>
      </c>
      <c r="P17" s="123">
        <f>SUMIFS('Expenditure Breakdown'!$U$6:$U$193, 'Expenditure Breakdown'!$T$6:$T$193, "&gt;="&amp;P1,'Expenditure Breakdown'!$T$6:$T$193, "&lt;"&amp;Q1)</f>
        <v>0</v>
      </c>
      <c r="Q17" s="123">
        <f>SUMIFS('Expenditure Breakdown'!$U$6:$U$193, 'Expenditure Breakdown'!$T$6:$T$193, "&gt;="&amp;Q1,'Expenditure Breakdown'!$T$6:$T$193, "&lt;"&amp;R1)</f>
        <v>0</v>
      </c>
      <c r="R17" s="123">
        <f>SUMIFS('Expenditure Breakdown'!$U$6:$U$193, 'Expenditure Breakdown'!$T$6:$T$193, "&gt;="&amp;R1,'Expenditure Breakdown'!$T$6:$T$193, "&lt;"&amp;S1)</f>
        <v>672817.95397415059</v>
      </c>
      <c r="S17" s="123">
        <f>SUMIFS('Expenditure Breakdown'!$U$6:$U$193, 'Expenditure Breakdown'!$T$6:$T$193, "&gt;="&amp;S1,'Expenditure Breakdown'!$T$6:$T$193, "&lt;"&amp;T1)</f>
        <v>0</v>
      </c>
      <c r="T17" s="123">
        <f>SUMIFS('Expenditure Breakdown'!$U$6:$U$193, 'Expenditure Breakdown'!$T$6:$T$193, "&gt;="&amp;T1,'Expenditure Breakdown'!$T$6:$T$193, "&lt;"&amp;U1)</f>
        <v>0</v>
      </c>
      <c r="U17" s="123">
        <f>SUMIFS('Expenditure Breakdown'!$U$6:$U$193, 'Expenditure Breakdown'!$T$6:$T$193, "&gt;="&amp;U1,'Expenditure Breakdown'!$T$6:$T$193, "&lt;"&amp;V1)</f>
        <v>0</v>
      </c>
      <c r="V17" s="123">
        <f>SUMIFS('Expenditure Breakdown'!$U$6:$U$193, 'Expenditure Breakdown'!$T$6:$T$193, "&gt;="&amp;V1,'Expenditure Breakdown'!$T$6:$T$193, "&lt;"&amp;W1)</f>
        <v>0</v>
      </c>
      <c r="W17" s="123">
        <f>SUMIFS('Expenditure Breakdown'!$U$6:$U$193, 'Expenditure Breakdown'!$T$6:$T$193, "&gt;="&amp;W1,'Expenditure Breakdown'!$T$6:$T$193, "&lt;"&amp;X1)</f>
        <v>614667.77245380939</v>
      </c>
      <c r="X17" s="123">
        <f>SUMIFS('Expenditure Breakdown'!$U$6:$U$193, 'Expenditure Breakdown'!$T$6:$T$193, "&gt;="&amp;X1,'Expenditure Breakdown'!$T$6:$T$193, "&lt;"&amp;Y1)</f>
        <v>0</v>
      </c>
      <c r="Y17" s="123">
        <f>SUMIFS('Expenditure Breakdown'!$U$6:$U$193, 'Expenditure Breakdown'!$T$6:$T$193, "&gt;="&amp;Y1,'Expenditure Breakdown'!$T$6:$T$193, "&lt;"&amp;Z1)</f>
        <v>0</v>
      </c>
      <c r="Z17" s="123">
        <f>SUMIFS('Expenditure Breakdown'!$U$6:$U$193, 'Expenditure Breakdown'!$T$6:$T$193, "&gt;="&amp;Z1,'Expenditure Breakdown'!$T$6:$T$193, "&lt;"&amp;AA1)</f>
        <v>0</v>
      </c>
      <c r="AA17" s="123">
        <f>SUMIFS('Expenditure Breakdown'!$U$6:$U$193, 'Expenditure Breakdown'!$T$6:$T$193, "&gt;="&amp;AA1,'Expenditure Breakdown'!$T$6:$T$193, "&lt;"&amp;AB1)</f>
        <v>135929.28881275631</v>
      </c>
      <c r="AB17" s="123">
        <f>SUMIFS('Expenditure Breakdown'!$U$6:$U$193, 'Expenditure Breakdown'!$T$6:$T$193, "&gt;="&amp;AB1,'Expenditure Breakdown'!$T$6:$T$193, "&lt;"&amp;AC1)</f>
        <v>0</v>
      </c>
      <c r="AC17" s="123">
        <f>SUMIFS('Expenditure Breakdown'!$U$6:$U$193, 'Expenditure Breakdown'!$T$6:$T$193, "&gt;="&amp;AC1,'Expenditure Breakdown'!$T$6:$T$193, "&lt;"&amp;AD1)</f>
        <v>0</v>
      </c>
      <c r="AD17" s="123">
        <f>SUMIFS('Expenditure Breakdown'!$U$6:$U$193, 'Expenditure Breakdown'!$T$6:$T$193, "&gt;="&amp;AD1,'Expenditure Breakdown'!$T$6:$T$193, "&lt;"&amp;AE1)</f>
        <v>0</v>
      </c>
      <c r="AE17" s="123">
        <f>SUMIFS('Expenditure Breakdown'!$U$6:$U$193, 'Expenditure Breakdown'!$T$6:$T$193, "&gt;="&amp;AE1,'Expenditure Breakdown'!$T$6:$T$193, "&lt;"&amp;AF1)</f>
        <v>64659.552607141311</v>
      </c>
      <c r="AF17" s="123">
        <f>SUMIFS('Expenditure Breakdown'!$U$6:$U$193, 'Expenditure Breakdown'!$T$6:$T$193, "&gt;="&amp;AF1,'Expenditure Breakdown'!$T$6:$T$193, "&lt;"&amp;AG1)</f>
        <v>0</v>
      </c>
      <c r="AG17" s="123">
        <f>SUMIFS('Expenditure Breakdown'!$U$6:$U$193, 'Expenditure Breakdown'!$T$6:$T$193, "&gt;="&amp;AG1,'Expenditure Breakdown'!$T$6:$T$193, "&lt;"&amp;AH1)</f>
        <v>0</v>
      </c>
      <c r="AH17" s="123">
        <f>SUMIFS('Expenditure Breakdown'!$U$6:$U$193, 'Expenditure Breakdown'!$T$6:$T$193, "&gt;="&amp;AH1,'Expenditure Breakdown'!$T$6:$T$193, "&lt;"&amp;AI1)</f>
        <v>0</v>
      </c>
      <c r="AI17" s="123">
        <f>SUMIFS('Expenditure Breakdown'!$U$6:$U$193, 'Expenditure Breakdown'!$T$6:$T$193, "&gt;="&amp;AI1,'Expenditure Breakdown'!$T$6:$T$193, "&lt;"&amp;AJ1)</f>
        <v>0</v>
      </c>
      <c r="AJ17" s="123">
        <f>SUMIFS('Expenditure Breakdown'!$U$6:$U$193, 'Expenditure Breakdown'!$T$6:$T$193, "&gt;="&amp;AJ1,'Expenditure Breakdown'!$T$6:$T$193, "&lt;"&amp;AK1)</f>
        <v>0</v>
      </c>
      <c r="AK17" s="123">
        <f>SUMIFS('Expenditure Breakdown'!$U$6:$U$193, 'Expenditure Breakdown'!$T$6:$T$193, "&gt;="&amp;AK1,'Expenditure Breakdown'!$T$6:$T$193, "&lt;"&amp;AL1)</f>
        <v>0</v>
      </c>
      <c r="AL17" s="123">
        <f>SUMIFS('Expenditure Breakdown'!$U$6:$U$193, 'Expenditure Breakdown'!$T$6:$T$193, "&gt;="&amp;AL1,'Expenditure Breakdown'!$T$6:$T$193, "&lt;"&amp;AM1)</f>
        <v>0</v>
      </c>
      <c r="AM17" s="123">
        <f>SUMIFS('Expenditure Breakdown'!$U$6:$U$193, 'Expenditure Breakdown'!$T$6:$T$193, "&gt;="&amp;AM1,'Expenditure Breakdown'!$T$6:$T$193, "&lt;"&amp;AN1)</f>
        <v>0</v>
      </c>
      <c r="AN17" s="123">
        <f>SUMIFS('Expenditure Breakdown'!$U$6:$U$193, 'Expenditure Breakdown'!$T$6:$T$193, "&gt;="&amp;AN1,'Expenditure Breakdown'!$T$6:$T$193, "&lt;"&amp;AO1)</f>
        <v>0</v>
      </c>
      <c r="AO17" s="123">
        <f>SUMIFS('Expenditure Breakdown'!$U$6:$U$193, 'Expenditure Breakdown'!$T$6:$T$193, "&gt;="&amp;AO1,'Expenditure Breakdown'!$T$6:$T$193, "&lt;"&amp;AP1)</f>
        <v>0</v>
      </c>
      <c r="AP17" s="123">
        <f>SUMIFS('Expenditure Breakdown'!$U$6:$U$193, 'Expenditure Breakdown'!$T$6:$T$193, "&gt;="&amp;AP1,'Expenditure Breakdown'!$T$6:$T$193, "&lt;"&amp;AQ1)</f>
        <v>0</v>
      </c>
      <c r="AQ17" s="123">
        <f>SUMIFS('Expenditure Breakdown'!$U$6:$U$193, 'Expenditure Breakdown'!$T$6:$T$193, "&gt;="&amp;AQ1,'Expenditure Breakdown'!$T$6:$T$193, "&lt;"&amp;AR1)</f>
        <v>0</v>
      </c>
      <c r="AR17" s="123">
        <f>SUMIFS('Expenditure Breakdown'!$U$6:$U$193, 'Expenditure Breakdown'!$T$6:$T$193, "&gt;="&amp;AR1,'Expenditure Breakdown'!$T$6:$T$193, "&lt;"&amp;AS1)</f>
        <v>0</v>
      </c>
      <c r="AS17" s="123">
        <f>SUMIFS('Expenditure Breakdown'!$U$6:$U$193, 'Expenditure Breakdown'!$T$6:$T$193, "&gt;="&amp;AS1,'Expenditure Breakdown'!$T$6:$T$193, "&lt;"&amp;AT1)</f>
        <v>0</v>
      </c>
      <c r="AT17" s="123">
        <f>SUMIFS('Expenditure Breakdown'!$U$6:$U$193, 'Expenditure Breakdown'!$T$6:$T$193, "&gt;="&amp;AT1,'Expenditure Breakdown'!$T$6:$T$193, "&lt;"&amp;AU1)</f>
        <v>0</v>
      </c>
      <c r="AU17" s="123">
        <f>SUMIFS('Expenditure Breakdown'!$U$6:$U$193, 'Expenditure Breakdown'!$T$6:$T$193, "&gt;="&amp;AU1,'Expenditure Breakdown'!$T$6:$T$193, "&lt;"&amp;AV1)</f>
        <v>0</v>
      </c>
      <c r="AV17" s="123">
        <f>SUMIFS('Expenditure Breakdown'!$U$6:$U$193, 'Expenditure Breakdown'!$T$6:$T$193, "&gt;="&amp;AV1,'Expenditure Breakdown'!$T$6:$T$193, "&lt;"&amp;AW1)</f>
        <v>0</v>
      </c>
      <c r="AW17" s="123">
        <f>SUMIFS('Expenditure Breakdown'!$U$6:$U$193, 'Expenditure Breakdown'!$T$6:$T$193, "&gt;="&amp;AW1,'Expenditure Breakdown'!$T$6:$T$193, "&lt;"&amp;AX1)</f>
        <v>0</v>
      </c>
      <c r="AX17" s="123">
        <f>SUMIFS('Expenditure Breakdown'!$U$6:$U$193, 'Expenditure Breakdown'!$T$6:$T$193, "&gt;="&amp;AX1,'Expenditure Breakdown'!$T$6:$T$193, "&lt;"&amp;AY1)</f>
        <v>0</v>
      </c>
      <c r="AY17" s="123">
        <f>SUMIFS('Expenditure Breakdown'!$U$6:$U$193, 'Expenditure Breakdown'!$T$6:$T$193, "&gt;="&amp;AY1,'Expenditure Breakdown'!$T$6:$T$193, "&lt;"&amp;AZ1)</f>
        <v>0</v>
      </c>
      <c r="AZ17" s="123">
        <f>SUMIFS('Expenditure Breakdown'!$U$6:$U$193, 'Expenditure Breakdown'!$T$6:$T$193, "&gt;="&amp;AZ1,'Expenditure Breakdown'!$T$6:$T$193, "&lt;"&amp;BA1)</f>
        <v>0</v>
      </c>
      <c r="BA17" s="123">
        <f>SUMIFS('Expenditure Breakdown'!$U$6:$U$193, 'Expenditure Breakdown'!$T$6:$T$193, "&gt;="&amp;BA1,'Expenditure Breakdown'!$T$6:$T$193, "&lt;"&amp;BB1)</f>
        <v>0</v>
      </c>
      <c r="BB17" s="123">
        <f>SUMIFS('Expenditure Breakdown'!$U$6:$U$193, 'Expenditure Breakdown'!$T$6:$T$193, "&gt;="&amp;BB1,'Expenditure Breakdown'!$T$6:$T$193, "&lt;"&amp;BC1)</f>
        <v>0</v>
      </c>
      <c r="BC17" s="123">
        <f>SUMIFS('Expenditure Breakdown'!$U$6:$U$193, 'Expenditure Breakdown'!$T$6:$T$193, "&gt;="&amp;BC1,'Expenditure Breakdown'!$T$6:$T$193, "&lt;"&amp;BD1)</f>
        <v>0</v>
      </c>
      <c r="BD17" s="123">
        <f>SUMIFS('Expenditure Breakdown'!$U$6:$U$193, 'Expenditure Breakdown'!$T$6:$T$193, "&gt;="&amp;BD1,'Expenditure Breakdown'!$T$6:$T$193, "&lt;"&amp;BE1)</f>
        <v>0</v>
      </c>
      <c r="BE17" s="123">
        <f>SUMIFS('Expenditure Breakdown'!$U$6:$U$193, 'Expenditure Breakdown'!$T$6:$T$193, "&gt;="&amp;BE1,'Expenditure Breakdown'!$T$6:$T$193, "&lt;"&amp;BF1)</f>
        <v>0</v>
      </c>
      <c r="BF17" s="123">
        <f>SUMIFS('Expenditure Breakdown'!$U$6:$U$193, 'Expenditure Breakdown'!$T$6:$T$193, "&gt;="&amp;BF1,'Expenditure Breakdown'!$T$6:$T$193, "&lt;"&amp;BG1)</f>
        <v>0</v>
      </c>
      <c r="BG17" s="123">
        <f>SUMIFS('Expenditure Breakdown'!$U$6:$U$193, 'Expenditure Breakdown'!$T$6:$T$193, "&gt;="&amp;BG1,'Expenditure Breakdown'!$T$6:$T$193, "&lt;"&amp;BH1)</f>
        <v>0</v>
      </c>
      <c r="BH17" s="123">
        <f>SUMIFS('Expenditure Breakdown'!$U$6:$U$193, 'Expenditure Breakdown'!$T$6:$T$193, "&gt;="&amp;BH1,'Expenditure Breakdown'!$T$6:$T$193, "&lt;"&amp;BI1)</f>
        <v>0</v>
      </c>
      <c r="BI17" s="123">
        <f>SUMIFS('Expenditure Breakdown'!$U$6:$U$193, 'Expenditure Breakdown'!$T$6:$T$193, "&gt;="&amp;BI1,'Expenditure Breakdown'!$T$6:$T$193, "&lt;"&amp;BJ1)</f>
        <v>0</v>
      </c>
      <c r="BJ17" s="123">
        <f>SUMIFS('Expenditure Breakdown'!$U$6:$U$193, 'Expenditure Breakdown'!$T$6:$T$193, "&gt;="&amp;BJ1,'Expenditure Breakdown'!$T$6:$T$193, "&lt;"&amp;BK1)</f>
        <v>0</v>
      </c>
      <c r="BK17" s="123">
        <f>SUMIFS('Expenditure Breakdown'!$U$6:$U$193, 'Expenditure Breakdown'!$T$6:$T$193, "&gt;="&amp;BK1,'Expenditure Breakdown'!$T$6:$T$193, "&lt;"&amp;BL1)</f>
        <v>0</v>
      </c>
      <c r="BL17" s="123">
        <f>SUMIFS('Expenditure Breakdown'!$U$6:$U$193, 'Expenditure Breakdown'!$T$6:$T$193, "&gt;="&amp;BL1,'Expenditure Breakdown'!$T$6:$T$193, "&lt;"&amp;BM1)</f>
        <v>0</v>
      </c>
      <c r="BM17" s="123">
        <f>SUMIFS('Expenditure Breakdown'!$U$6:$U$193, 'Expenditure Breakdown'!$T$6:$T$193, "&gt;="&amp;BM1,'Expenditure Breakdown'!$T$6:$T$193, "&lt;"&amp;BN1)</f>
        <v>0</v>
      </c>
      <c r="BN17" s="123">
        <f>SUMIFS('Expenditure Breakdown'!$U$6:$U$193, 'Expenditure Breakdown'!$T$6:$T$193, "&gt;="&amp;BN1,'Expenditure Breakdown'!$T$6:$T$193, "&lt;"&amp;BO1)</f>
        <v>0</v>
      </c>
      <c r="BO17" s="123">
        <f>SUMIFS('Expenditure Breakdown'!$U$6:$U$193, 'Expenditure Breakdown'!$T$6:$T$193, "&gt;="&amp;BO1,'Expenditure Breakdown'!$T$6:$T$193, "&lt;"&amp;BP1)</f>
        <v>0</v>
      </c>
      <c r="BP17" s="123">
        <f>SUMIFS('Expenditure Breakdown'!$U$6:$U$193, 'Expenditure Breakdown'!$T$6:$T$193, "&gt;="&amp;BP1,'Expenditure Breakdown'!$T$6:$T$193, "&lt;"&amp;BQ1)</f>
        <v>0</v>
      </c>
      <c r="BQ17" s="123">
        <f>SUMIFS('Expenditure Breakdown'!$U$6:$U$193, 'Expenditure Breakdown'!$T$6:$T$193, "&gt;="&amp;BQ1,'Expenditure Breakdown'!$T$6:$T$193, "&lt;"&amp;BR1)</f>
        <v>0</v>
      </c>
      <c r="BR17" s="123">
        <f>SUMIFS('Expenditure Breakdown'!$U$6:$U$193, 'Expenditure Breakdown'!$T$6:$T$193, "&gt;="&amp;BR1,'Expenditure Breakdown'!$T$6:$T$193, "&lt;"&amp;BS1)</f>
        <v>0</v>
      </c>
      <c r="BS17" s="123">
        <f>SUMIFS('Expenditure Breakdown'!$U$6:$U$193, 'Expenditure Breakdown'!$T$6:$T$193, "&gt;="&amp;BS1,'Expenditure Breakdown'!$T$6:$T$193, "&lt;"&amp;BT1)</f>
        <v>0</v>
      </c>
      <c r="BT17" s="123">
        <f>SUMIFS('Expenditure Breakdown'!$U$6:$U$193, 'Expenditure Breakdown'!$T$6:$T$193, "&gt;="&amp;BT1,'Expenditure Breakdown'!$T$6:$T$193, "&lt;"&amp;BU1)</f>
        <v>0</v>
      </c>
      <c r="BU17" s="123">
        <f>SUMIFS('Expenditure Breakdown'!$U$6:$U$193, 'Expenditure Breakdown'!$T$6:$T$193, "&gt;="&amp;BU1,'Expenditure Breakdown'!$T$6:$T$193, "&lt;"&amp;BV1)</f>
        <v>0</v>
      </c>
      <c r="BV17" s="123">
        <f>SUMIFS('Expenditure Breakdown'!$U$6:$U$193, 'Expenditure Breakdown'!$T$6:$T$193, "&gt;="&amp;BV1,'Expenditure Breakdown'!$T$6:$T$193, "&lt;"&amp;BW1)</f>
        <v>0</v>
      </c>
      <c r="BW17" s="123">
        <f>SUMIFS('Expenditure Breakdown'!$U$6:$U$193, 'Expenditure Breakdown'!$T$6:$T$193, "&gt;="&amp;BW1,'Expenditure Breakdown'!$T$6:$T$193, "&lt;"&amp;BX1)</f>
        <v>0</v>
      </c>
      <c r="BX17" s="123">
        <f>SUMIFS('Expenditure Breakdown'!$U$6:$U$193, 'Expenditure Breakdown'!$T$6:$T$193, "&gt;="&amp;BX1,'Expenditure Breakdown'!$T$6:$T$193, "&lt;"&amp;BY1)</f>
        <v>0</v>
      </c>
      <c r="BY17" s="123">
        <f>SUMIFS('Expenditure Breakdown'!$U$6:$U$193, 'Expenditure Breakdown'!$T$6:$T$193, "&gt;="&amp;BY1,'Expenditure Breakdown'!$T$6:$T$193, "&lt;"&amp;BZ1)</f>
        <v>0</v>
      </c>
      <c r="BZ17" s="123">
        <f>SUMIFS('Expenditure Breakdown'!$U$6:$U$193, 'Expenditure Breakdown'!$T$6:$T$193, "&gt;="&amp;BZ1,'Expenditure Breakdown'!$T$6:$T$193, "&lt;"&amp;CA1)</f>
        <v>0</v>
      </c>
      <c r="CA17" s="123">
        <f>SUMIFS('Expenditure Breakdown'!$U$6:$U$193, 'Expenditure Breakdown'!$T$6:$T$193, "&gt;="&amp;CA1,'Expenditure Breakdown'!$T$6:$T$193, "&lt;"&amp;CB1)</f>
        <v>0</v>
      </c>
      <c r="CB17" s="123">
        <f>SUMIFS('Expenditure Breakdown'!$U$6:$U$193, 'Expenditure Breakdown'!$T$6:$T$193, "&gt;="&amp;CB1,'Expenditure Breakdown'!$T$6:$T$193, "&lt;"&amp;CC1)</f>
        <v>0</v>
      </c>
      <c r="CC17" s="123">
        <f>SUMIFS('Expenditure Breakdown'!$U$6:$U$193, 'Expenditure Breakdown'!$T$6:$T$193, "&gt;="&amp;CC1,'Expenditure Breakdown'!$T$6:$T$193, "&lt;"&amp;CD1)</f>
        <v>0</v>
      </c>
      <c r="CD17" s="123">
        <f>SUMIFS('Expenditure Breakdown'!$U$6:$U$193, 'Expenditure Breakdown'!$T$6:$T$193, "&gt;="&amp;CD1,'Expenditure Breakdown'!$T$6:$T$193, "&lt;"&amp;CE1)</f>
        <v>0</v>
      </c>
      <c r="CE17" s="123">
        <f>SUMIFS('Expenditure Breakdown'!$U$6:$U$193, 'Expenditure Breakdown'!$T$6:$T$193, "&gt;="&amp;CE1,'Expenditure Breakdown'!$T$6:$T$193, "&lt;"&amp;CF1)</f>
        <v>0</v>
      </c>
      <c r="CF17" s="123">
        <f>SUMIFS('Expenditure Breakdown'!$U$6:$U$193, 'Expenditure Breakdown'!$T$6:$T$193, "&gt;="&amp;CF1,'Expenditure Breakdown'!$T$6:$T$193, "&lt;"&amp;CG1)</f>
        <v>0</v>
      </c>
      <c r="CG17" s="123">
        <f>SUMIFS('Expenditure Breakdown'!$U$6:$U$193, 'Expenditure Breakdown'!$T$6:$T$193, "&gt;="&amp;CG1,'Expenditure Breakdown'!$T$6:$T$193, "&lt;"&amp;CH1)</f>
        <v>0</v>
      </c>
      <c r="CH17" s="123">
        <f>SUMIFS('Expenditure Breakdown'!$U$6:$U$193, 'Expenditure Breakdown'!$T$6:$T$193, "&gt;="&amp;CH1,'Expenditure Breakdown'!$T$6:$T$193, "&lt;"&amp;CI1)</f>
        <v>0</v>
      </c>
      <c r="CI17" s="123">
        <f>SUMIFS('Expenditure Breakdown'!$U$6:$U$193, 'Expenditure Breakdown'!$T$6:$T$193, "&gt;="&amp;CI1,'Expenditure Breakdown'!$T$6:$T$193, "&lt;"&amp;CJ1)</f>
        <v>0</v>
      </c>
      <c r="CJ17" s="123">
        <f>SUMIFS('Expenditure Breakdown'!$U$6:$U$193, 'Expenditure Breakdown'!$T$6:$T$193, "&gt;="&amp;CJ1,'Expenditure Breakdown'!$T$6:$T$193, "&lt;"&amp;CK1)</f>
        <v>0</v>
      </c>
      <c r="CK17" s="123">
        <f>SUMIFS('Expenditure Breakdown'!$U$6:$U$193, 'Expenditure Breakdown'!$T$6:$T$193, "&gt;="&amp;CK1,'Expenditure Breakdown'!$T$6:$T$193, "&lt;"&amp;CL1)</f>
        <v>0</v>
      </c>
      <c r="CL17" s="123">
        <f>SUMIFS('Expenditure Breakdown'!$U$6:$U$193, 'Expenditure Breakdown'!$T$6:$T$193, "&gt;="&amp;CL1,'Expenditure Breakdown'!$T$6:$T$193, "&lt;"&amp;CM1)</f>
        <v>0</v>
      </c>
      <c r="CM17" s="123">
        <f>SUMIFS('Expenditure Breakdown'!$U$6:$U$193, 'Expenditure Breakdown'!$T$6:$T$193, "&gt;="&amp;CM1,'Expenditure Breakdown'!$T$6:$T$193, "&lt;"&amp;CN1)</f>
        <v>0</v>
      </c>
      <c r="CN17" s="123">
        <f>SUMIFS('Expenditure Breakdown'!$U$6:$U$193, 'Expenditure Breakdown'!$T$6:$T$193, "&gt;="&amp;CN1,'Expenditure Breakdown'!$T$6:$T$193, "&lt;"&amp;CO1)</f>
        <v>0</v>
      </c>
      <c r="CO17" s="123">
        <f>SUMIFS('Expenditure Breakdown'!$U$6:$U$193, 'Expenditure Breakdown'!$T$6:$T$193, "&gt;="&amp;CO1,'Expenditure Breakdown'!$T$6:$T$193, "&lt;"&amp;CP1)</f>
        <v>0</v>
      </c>
      <c r="CP17" s="123">
        <f>SUMIFS('Expenditure Breakdown'!$U$6:$U$193, 'Expenditure Breakdown'!$T$6:$T$193, "&gt;="&amp;CP1,'Expenditure Breakdown'!$T$6:$T$193, "&lt;"&amp;CQ1)</f>
        <v>0</v>
      </c>
      <c r="CQ17" s="123">
        <f>SUMIFS('Expenditure Breakdown'!$U$6:$U$193, 'Expenditure Breakdown'!$T$6:$T$193, "&gt;="&amp;CQ1,'Expenditure Breakdown'!$T$6:$T$193, "&lt;"&amp;CR1)</f>
        <v>0</v>
      </c>
      <c r="CR17" s="123">
        <f>SUMIFS('Expenditure Breakdown'!$U$6:$U$193, 'Expenditure Breakdown'!$T$6:$T$193, "&gt;="&amp;CR1,'Expenditure Breakdown'!$T$6:$T$193, "&lt;"&amp;CS1)</f>
        <v>0</v>
      </c>
      <c r="CS17" s="123">
        <f>SUMIFS('Expenditure Breakdown'!$U$6:$U$193, 'Expenditure Breakdown'!$T$6:$T$193, "&gt;="&amp;CS1,'Expenditure Breakdown'!$T$6:$T$193, "&lt;"&amp;CT1)</f>
        <v>0</v>
      </c>
      <c r="CT17" s="123">
        <f>SUMIFS('Expenditure Breakdown'!$U$6:$U$193, 'Expenditure Breakdown'!$T$6:$T$193, "&gt;="&amp;CT1,'Expenditure Breakdown'!$T$6:$T$193, "&lt;"&amp;CU1)</f>
        <v>0</v>
      </c>
      <c r="CU17" s="123">
        <f>SUMIFS('Expenditure Breakdown'!$U$6:$U$193, 'Expenditure Breakdown'!$T$6:$T$193, "&gt;="&amp;CU1,'Expenditure Breakdown'!$T$6:$T$193, "&lt;"&amp;CV1)</f>
        <v>0</v>
      </c>
      <c r="CV17" s="123">
        <f>SUMIFS('Expenditure Breakdown'!$U$6:$U$193, 'Expenditure Breakdown'!$T$6:$T$193, "&gt;="&amp;CV1,'Expenditure Breakdown'!$T$6:$T$193, "&lt;"&amp;CW1)</f>
        <v>0</v>
      </c>
      <c r="CW17" s="123">
        <f>SUMIFS('Expenditure Breakdown'!$U$6:$U$193, 'Expenditure Breakdown'!$T$6:$T$193, "&gt;="&amp;CW1,'Expenditure Breakdown'!$T$6:$T$193, "&lt;"&amp;CX1)</f>
        <v>0</v>
      </c>
      <c r="CX17" s="123">
        <f>SUMIFS('Expenditure Breakdown'!$U$6:$U$193, 'Expenditure Breakdown'!$T$6:$T$193, "&gt;="&amp;CX1,'Expenditure Breakdown'!$T$6:$T$193, "&lt;"&amp;CY1)</f>
        <v>0</v>
      </c>
      <c r="CY17" s="123">
        <f>SUMIFS('Expenditure Breakdown'!$U$6:$U$193, 'Expenditure Breakdown'!$T$6:$T$193, "&gt;="&amp;CY1,'Expenditure Breakdown'!$T$6:$T$193, "&lt;"&amp;CZ1)</f>
        <v>0</v>
      </c>
      <c r="CZ17" s="123">
        <f>SUMIFS('Expenditure Breakdown'!$U$6:$U$193, 'Expenditure Breakdown'!$T$6:$T$193, "&gt;="&amp;CZ1,'Expenditure Breakdown'!$T$6:$T$193, "&lt;"&amp;DA1)</f>
        <v>0</v>
      </c>
      <c r="DA17" s="123">
        <f>SUMIFS('Expenditure Breakdown'!$U$6:$U$193, 'Expenditure Breakdown'!$T$6:$T$193, "&gt;="&amp;DA1,'Expenditure Breakdown'!$T$6:$T$193, "&lt;"&amp;DB1)</f>
        <v>0</v>
      </c>
      <c r="DB17" s="123">
        <f>SUMIFS('Expenditure Breakdown'!$U$6:$U$193, 'Expenditure Breakdown'!$T$6:$T$193, "&gt;="&amp;DB1,'Expenditure Breakdown'!$T$6:$T$193, "&lt;"&amp;DC1)</f>
        <v>0</v>
      </c>
      <c r="DC17" s="123">
        <f>SUMIFS('Expenditure Breakdown'!$U$6:$U$193, 'Expenditure Breakdown'!$T$6:$T$193, "&gt;="&amp;DC1,'Expenditure Breakdown'!$T$6:$T$193, "&lt;"&amp;DD1)</f>
        <v>0</v>
      </c>
      <c r="DD17" s="123">
        <f>SUMIFS('Expenditure Breakdown'!$U$6:$U$193, 'Expenditure Breakdown'!$T$6:$T$193, "&gt;="&amp;DD1,'Expenditure Breakdown'!$T$6:$T$193, "&lt;"&amp;DE1)</f>
        <v>0</v>
      </c>
      <c r="DE17" s="123">
        <f>SUMIFS('Expenditure Breakdown'!$U$6:$U$193, 'Expenditure Breakdown'!$T$6:$T$193, "&gt;="&amp;DE1,'Expenditure Breakdown'!$T$6:$T$193, "&lt;"&amp;DF1)</f>
        <v>0</v>
      </c>
      <c r="DF17" s="123">
        <f>SUMIFS('Expenditure Breakdown'!$U$6:$U$193, 'Expenditure Breakdown'!$T$6:$T$193, "&gt;="&amp;DF1,'Expenditure Breakdown'!$T$6:$T$193, "&lt;"&amp;DG1)</f>
        <v>0</v>
      </c>
      <c r="DG17" s="123">
        <f>SUMIFS('Expenditure Breakdown'!$U$6:$U$193, 'Expenditure Breakdown'!$T$6:$T$193, "&gt;="&amp;DG1,'Expenditure Breakdown'!$T$6:$T$193, "&lt;"&amp;DH1)</f>
        <v>0</v>
      </c>
      <c r="DH17" s="123">
        <f>SUMIFS('Expenditure Breakdown'!$U$6:$U$193, 'Expenditure Breakdown'!$T$6:$T$193, "&gt;="&amp;DH1,'Expenditure Breakdown'!$T$6:$T$193, "&lt;"&amp;DI1)</f>
        <v>0</v>
      </c>
      <c r="DI17" s="123">
        <f>SUMIFS('Expenditure Breakdown'!$U$6:$U$193, 'Expenditure Breakdown'!$T$6:$T$193, "&gt;="&amp;DI1,'Expenditure Breakdown'!$T$6:$T$193, "&lt;"&amp;DJ1)</f>
        <v>0</v>
      </c>
      <c r="DJ17" s="123">
        <f>SUMIFS('Expenditure Breakdown'!$U$6:$U$193, 'Expenditure Breakdown'!$T$6:$T$193, "&gt;="&amp;DJ1,'Expenditure Breakdown'!$T$6:$T$193, "&lt;"&amp;DK1)</f>
        <v>0</v>
      </c>
      <c r="DK17" s="123">
        <f>SUMIFS('Expenditure Breakdown'!$U$6:$U$193, 'Expenditure Breakdown'!$T$6:$T$193, "&gt;="&amp;DK1,'Expenditure Breakdown'!$T$6:$T$193, "&lt;"&amp;DL1)</f>
        <v>0</v>
      </c>
      <c r="DL17" s="123">
        <f>SUMIFS('Expenditure Breakdown'!$U$6:$U$193, 'Expenditure Breakdown'!$T$6:$T$193, "&gt;="&amp;DL1,'Expenditure Breakdown'!$T$6:$T$193, "&lt;"&amp;DM1)</f>
        <v>0</v>
      </c>
      <c r="DM17" s="123">
        <f>SUMIFS('Expenditure Breakdown'!$U$6:$U$193, 'Expenditure Breakdown'!$T$6:$T$193, "&gt;="&amp;DM1,'Expenditure Breakdown'!$T$6:$T$193, "&lt;"&amp;DN1)</f>
        <v>0</v>
      </c>
      <c r="DN17" s="123">
        <f>SUMIFS('Expenditure Breakdown'!$U$6:$U$193, 'Expenditure Breakdown'!$T$6:$T$193, "&gt;="&amp;DN1,'Expenditure Breakdown'!$T$6:$T$193, "&lt;"&amp;DO1)</f>
        <v>0</v>
      </c>
      <c r="DO17" s="123">
        <f>SUMIFS('Expenditure Breakdown'!$U$6:$U$193, 'Expenditure Breakdown'!$T$6:$T$193, "&gt;="&amp;DO1,'Expenditure Breakdown'!$T$6:$T$193, "&lt;"&amp;DP1)</f>
        <v>0</v>
      </c>
      <c r="DP17" s="123">
        <f>SUMIFS('Expenditure Breakdown'!$U$6:$U$193, 'Expenditure Breakdown'!$T$6:$T$193, "&gt;="&amp;DP1,'Expenditure Breakdown'!$T$6:$T$193, "&lt;"&amp;DQ1)</f>
        <v>0</v>
      </c>
      <c r="DQ17" s="123">
        <f>SUMIFS('Expenditure Breakdown'!$U$6:$U$193, 'Expenditure Breakdown'!$T$6:$T$193, "&gt;="&amp;DQ1,'Expenditure Breakdown'!$T$6:$T$193, "&lt;"&amp;DR1)</f>
        <v>0</v>
      </c>
      <c r="DR17" s="123">
        <f>SUMIFS('Expenditure Breakdown'!$U$6:$U$193, 'Expenditure Breakdown'!$T$6:$T$193, "&gt;="&amp;DR1,'Expenditure Breakdown'!$T$6:$T$193, "&lt;"&amp;DS1)</f>
        <v>0</v>
      </c>
      <c r="DS17" s="123">
        <f>SUMIFS('Expenditure Breakdown'!$U$6:$U$193, 'Expenditure Breakdown'!$T$6:$T$193, "&gt;="&amp;DS1,'Expenditure Breakdown'!$T$6:$T$193, "&lt;"&amp;DT1)</f>
        <v>0</v>
      </c>
      <c r="DT17" s="123">
        <f>SUMIFS('Expenditure Breakdown'!$U$6:$U$193, 'Expenditure Breakdown'!$T$6:$T$193, "&gt;="&amp;DT1,'Expenditure Breakdown'!$T$6:$T$193, "&lt;"&amp;DU1)</f>
        <v>0</v>
      </c>
      <c r="DU17" s="123">
        <f>SUMIFS('Expenditure Breakdown'!$U$6:$U$193, 'Expenditure Breakdown'!$T$6:$T$193, "&gt;="&amp;DU1,'Expenditure Breakdown'!$T$6:$T$193, "&lt;"&amp;DV1)</f>
        <v>0</v>
      </c>
      <c r="DV17" s="123">
        <f>SUMIFS('Expenditure Breakdown'!$U$6:$U$193, 'Expenditure Breakdown'!$T$6:$T$193, "&gt;="&amp;DV1,'Expenditure Breakdown'!$T$6:$T$193, "&lt;"&amp;DW1)</f>
        <v>0</v>
      </c>
      <c r="DW17" s="123">
        <f>SUMIFS('Expenditure Breakdown'!$U$6:$U$193, 'Expenditure Breakdown'!$T$6:$T$193, "&gt;="&amp;DW1,'Expenditure Breakdown'!$T$6:$T$193, "&lt;"&amp;DX1)</f>
        <v>0</v>
      </c>
      <c r="DX17" s="123">
        <f>SUMIFS('Expenditure Breakdown'!$U$6:$U$193, 'Expenditure Breakdown'!$T$6:$T$193, "&gt;="&amp;DX1,'Expenditure Breakdown'!$T$6:$T$193, "&lt;"&amp;DY1)</f>
        <v>0</v>
      </c>
      <c r="DY17" s="123">
        <f>SUMIFS('Expenditure Breakdown'!$U$6:$U$193, 'Expenditure Breakdown'!$T$6:$T$193, "&gt;="&amp;DY1,'Expenditure Breakdown'!$T$6:$T$193, "&lt;"&amp;DZ1)</f>
        <v>0</v>
      </c>
      <c r="DZ17" s="123">
        <f>SUMIFS('Expenditure Breakdown'!$U$6:$U$193, 'Expenditure Breakdown'!$T$6:$T$193, "&gt;="&amp;DZ1,'Expenditure Breakdown'!$T$6:$T$193, "&lt;"&amp;EA1)</f>
        <v>0</v>
      </c>
      <c r="EA17" s="123">
        <f>SUMIFS('Expenditure Breakdown'!$U$6:$U$193, 'Expenditure Breakdown'!$T$6:$T$193, "&gt;="&amp;EA1,'Expenditure Breakdown'!$T$6:$T$193, "&lt;"&amp;EB1)</f>
        <v>0</v>
      </c>
      <c r="EB17" s="123">
        <f>SUMIFS('Expenditure Breakdown'!$U$6:$U$193, 'Expenditure Breakdown'!$T$6:$T$193, "&gt;="&amp;EB1,'Expenditure Breakdown'!$T$6:$T$193, "&lt;"&amp;EC1)</f>
        <v>0</v>
      </c>
      <c r="EC17" s="123">
        <f>SUMIFS('Expenditure Breakdown'!$U$6:$U$193, 'Expenditure Breakdown'!$T$6:$T$193, "&gt;="&amp;EC1,'Expenditure Breakdown'!$T$6:$T$193, "&lt;"&amp;ED1)</f>
        <v>0</v>
      </c>
      <c r="ED17" s="123">
        <f>SUMIFS('Expenditure Breakdown'!$U$6:$U$193, 'Expenditure Breakdown'!$T$6:$T$193, "&gt;="&amp;ED1,'Expenditure Breakdown'!$T$6:$T$193, "&lt;"&amp;EE1)</f>
        <v>0</v>
      </c>
      <c r="EE17" s="123">
        <f>SUMIFS('Expenditure Breakdown'!$U$6:$U$193, 'Expenditure Breakdown'!$T$6:$T$193, "&gt;="&amp;EE1,'Expenditure Breakdown'!$T$6:$T$193, "&lt;"&amp;EF1)</f>
        <v>0</v>
      </c>
      <c r="EF17" s="123">
        <f>SUMIFS('Expenditure Breakdown'!$U$6:$U$193, 'Expenditure Breakdown'!$T$6:$T$193, "&gt;="&amp;EF1,'Expenditure Breakdown'!$T$6:$T$193, "&lt;"&amp;EG1)</f>
        <v>0</v>
      </c>
      <c r="EG17" s="123">
        <f>SUMIFS('Expenditure Breakdown'!$U$6:$U$193, 'Expenditure Breakdown'!$T$6:$T$193, "&gt;="&amp;EG1,'Expenditure Breakdown'!$T$6:$T$193, "&lt;"&amp;EH1)</f>
        <v>0</v>
      </c>
      <c r="EH17" s="123">
        <f>SUMIFS('Expenditure Breakdown'!$U$6:$U$193, 'Expenditure Breakdown'!$T$6:$T$193, "&gt;="&amp;EH1,'Expenditure Breakdown'!$T$6:$T$193, "&lt;"&amp;EI1)</f>
        <v>0</v>
      </c>
      <c r="EI17" s="123">
        <f>SUMIFS('Expenditure Breakdown'!$U$6:$U$193, 'Expenditure Breakdown'!$T$6:$T$193, "&gt;="&amp;EI1,'Expenditure Breakdown'!$T$6:$T$193, "&lt;"&amp;EJ1)</f>
        <v>0</v>
      </c>
      <c r="EJ17" s="123">
        <f>SUMIFS('Expenditure Breakdown'!$U$6:$U$193, 'Expenditure Breakdown'!$T$6:$T$193, "&gt;="&amp;EJ1,'Expenditure Breakdown'!$T$6:$T$193, "&lt;"&amp;EK1)</f>
        <v>0</v>
      </c>
      <c r="EK17" s="123">
        <f>SUMIFS('Expenditure Breakdown'!$U$6:$U$193, 'Expenditure Breakdown'!$T$6:$T$193, "&gt;="&amp;EK1,'Expenditure Breakdown'!$T$6:$T$193, "&lt;"&amp;EL1)</f>
        <v>0</v>
      </c>
      <c r="EL17" s="123">
        <f>SUMIFS('Expenditure Breakdown'!$U$6:$U$193, 'Expenditure Breakdown'!$T$6:$T$193, "&gt;="&amp;EL1,'Expenditure Breakdown'!$T$6:$T$193, "&lt;"&amp;EM1)</f>
        <v>0</v>
      </c>
      <c r="EM17" s="123">
        <f>SUMIFS('Expenditure Breakdown'!$U$6:$U$193, 'Expenditure Breakdown'!$T$6:$T$193, "&gt;="&amp;EM1,'Expenditure Breakdown'!$T$6:$T$193, "&lt;"&amp;EN1)</f>
        <v>0</v>
      </c>
      <c r="EN17" s="123">
        <f>SUMIFS('Expenditure Breakdown'!$U$6:$U$193, 'Expenditure Breakdown'!$T$6:$T$193, "&gt;="&amp;EN1,'Expenditure Breakdown'!$T$6:$T$193, "&lt;"&amp;EO1)</f>
        <v>0</v>
      </c>
      <c r="EO17" s="123">
        <f>SUMIFS('Expenditure Breakdown'!$U$6:$U$193, 'Expenditure Breakdown'!$T$6:$T$193, "&gt;="&amp;EO1,'Expenditure Breakdown'!$T$6:$T$193, "&lt;"&amp;EP1)</f>
        <v>0</v>
      </c>
      <c r="EP17" s="123">
        <f>SUMIFS('Expenditure Breakdown'!$U$6:$U$193, 'Expenditure Breakdown'!$T$6:$T$193, "&gt;="&amp;EP1,'Expenditure Breakdown'!$T$6:$T$193, "&lt;"&amp;EQ1)</f>
        <v>0</v>
      </c>
      <c r="EQ17" s="123">
        <f>SUMIFS('Expenditure Breakdown'!$U$6:$U$193, 'Expenditure Breakdown'!$T$6:$T$193, "&gt;="&amp;EQ1,'Expenditure Breakdown'!$T$6:$T$193, "&lt;"&amp;ER1)</f>
        <v>0</v>
      </c>
      <c r="ER17" s="123">
        <f>SUMIFS('Expenditure Breakdown'!$U$6:$U$193, 'Expenditure Breakdown'!$T$6:$T$193, "&gt;="&amp;ER1,'Expenditure Breakdown'!$T$6:$T$193, "&lt;"&amp;ES1)</f>
        <v>0</v>
      </c>
      <c r="ES17" s="123">
        <f>SUMIFS('Expenditure Breakdown'!$U$6:$U$193, 'Expenditure Breakdown'!$T$6:$T$193, "&gt;="&amp;ES1,'Expenditure Breakdown'!$T$6:$T$193, "&lt;"&amp;ET1)</f>
        <v>0</v>
      </c>
      <c r="ET17" s="123">
        <f>SUMIFS('Expenditure Breakdown'!$U$6:$U$193, 'Expenditure Breakdown'!$T$6:$T$193, "&gt;="&amp;ET1,'Expenditure Breakdown'!$T$6:$T$193, "&lt;"&amp;EU1)</f>
        <v>0</v>
      </c>
      <c r="EU17" s="123">
        <f>SUMIFS('Expenditure Breakdown'!$U$6:$U$193, 'Expenditure Breakdown'!$T$6:$T$193, "&gt;="&amp;EU1,'Expenditure Breakdown'!$T$6:$T$193, "&lt;"&amp;EV1)</f>
        <v>0</v>
      </c>
      <c r="EV17" s="123">
        <f>SUMIFS('Expenditure Breakdown'!$U$6:$U$193, 'Expenditure Breakdown'!$T$6:$T$193, "&gt;="&amp;EV1,'Expenditure Breakdown'!$T$6:$T$193, "&lt;"&amp;EW1)</f>
        <v>0</v>
      </c>
      <c r="EW17" s="123">
        <f>SUMIFS('Expenditure Breakdown'!$U$6:$U$193, 'Expenditure Breakdown'!$T$6:$T$193, "&gt;="&amp;EW1,'Expenditure Breakdown'!$T$6:$T$193, "&lt;"&amp;EX1)</f>
        <v>0</v>
      </c>
      <c r="EX17" s="123">
        <f>SUMIFS('Expenditure Breakdown'!$U$6:$U$193, 'Expenditure Breakdown'!$T$6:$T$193, "&gt;="&amp;EX1,'Expenditure Breakdown'!$T$6:$T$193, "&lt;"&amp;EY1)</f>
        <v>0</v>
      </c>
      <c r="EY17" s="123">
        <f>SUMIFS('Expenditure Breakdown'!$U$6:$U$193, 'Expenditure Breakdown'!$T$6:$T$193, "&gt;="&amp;EY1,'Expenditure Breakdown'!$T$6:$T$193, "&lt;"&amp;EZ1)</f>
        <v>0</v>
      </c>
      <c r="EZ17" s="123">
        <f>SUMIFS('Expenditure Breakdown'!$U$6:$U$193, 'Expenditure Breakdown'!$T$6:$T$193, "&gt;="&amp;EZ1,'Expenditure Breakdown'!$T$6:$T$193, "&lt;"&amp;FA1)</f>
        <v>0</v>
      </c>
      <c r="FA17" s="123">
        <f>SUMIFS('Expenditure Breakdown'!$U$6:$U$193, 'Expenditure Breakdown'!$T$6:$T$193, "&gt;="&amp;FA1,'Expenditure Breakdown'!$T$6:$T$193, "&lt;"&amp;FB1)</f>
        <v>0</v>
      </c>
      <c r="FB17" s="123">
        <f>SUMIFS('Expenditure Breakdown'!$U$6:$U$193, 'Expenditure Breakdown'!$T$6:$T$193, "&gt;="&amp;FB1,'Expenditure Breakdown'!$T$6:$T$193, "&lt;"&amp;FC1)</f>
        <v>0</v>
      </c>
      <c r="FC17" s="123">
        <f>SUMIFS('Expenditure Breakdown'!$U$6:$U$193, 'Expenditure Breakdown'!$T$6:$T$193, "&gt;="&amp;FC1,'Expenditure Breakdown'!$T$6:$T$193, "&lt;"&amp;FD1)</f>
        <v>0</v>
      </c>
      <c r="FD17" s="123">
        <f>SUMIFS('Expenditure Breakdown'!$U$6:$U$193, 'Expenditure Breakdown'!$T$6:$T$193, "&gt;="&amp;FD1,'Expenditure Breakdown'!$T$6:$T$193, "&lt;"&amp;FE1)</f>
        <v>0</v>
      </c>
      <c r="FE17" s="123">
        <f>SUMIFS('Expenditure Breakdown'!$U$6:$U$193, 'Expenditure Breakdown'!$T$6:$T$193, "&gt;="&amp;FE1,'Expenditure Breakdown'!$T$6:$T$193, "&lt;"&amp;FF1)</f>
        <v>0</v>
      </c>
      <c r="FF17" s="123">
        <f>SUMIFS('Expenditure Breakdown'!$U$6:$U$193, 'Expenditure Breakdown'!$T$6:$T$193, "&gt;="&amp;FF1,'Expenditure Breakdown'!$T$6:$T$193, "&lt;"&amp;FG1)</f>
        <v>0</v>
      </c>
      <c r="FG17" s="123">
        <f>SUMIFS('Expenditure Breakdown'!$U$6:$U$193, 'Expenditure Breakdown'!$T$6:$T$193, "&gt;="&amp;FG1,'Expenditure Breakdown'!$T$6:$T$193, "&lt;"&amp;FH1)</f>
        <v>0</v>
      </c>
      <c r="FH17" s="123">
        <f>SUMIFS('Expenditure Breakdown'!$U$6:$U$193, 'Expenditure Breakdown'!$T$6:$T$193, "&gt;="&amp;FH1,'Expenditure Breakdown'!$T$6:$T$193, "&lt;"&amp;FI1)</f>
        <v>0</v>
      </c>
      <c r="FI17" s="123">
        <f>SUMIFS('Expenditure Breakdown'!$U$6:$U$193, 'Expenditure Breakdown'!$T$6:$T$193, "&gt;="&amp;FI1,'Expenditure Breakdown'!$T$6:$T$193, "&lt;"&amp;FJ1)</f>
        <v>0</v>
      </c>
      <c r="FJ17" s="123">
        <f>SUMIFS('Expenditure Breakdown'!$U$6:$U$193, 'Expenditure Breakdown'!$T$6:$T$193, "&gt;="&amp;FJ1,'Expenditure Breakdown'!$T$6:$T$193, "&lt;"&amp;FK1)</f>
        <v>0</v>
      </c>
      <c r="FK17" s="123">
        <f>SUMIFS('Expenditure Breakdown'!$U$6:$U$193, 'Expenditure Breakdown'!$T$6:$T$193, "&gt;="&amp;FK1,'Expenditure Breakdown'!$T$6:$T$193, "&lt;"&amp;FL1)</f>
        <v>0</v>
      </c>
      <c r="FL17" s="123">
        <f>SUMIFS('Expenditure Breakdown'!$U$6:$U$193, 'Expenditure Breakdown'!$T$6:$T$193, "&gt;="&amp;FL1,'Expenditure Breakdown'!$T$6:$T$193, "&lt;"&amp;FM1)</f>
        <v>0</v>
      </c>
      <c r="FM17" s="123">
        <f>SUMIFS('Expenditure Breakdown'!$U$6:$U$193, 'Expenditure Breakdown'!$T$6:$T$193, "&gt;="&amp;FM1,'Expenditure Breakdown'!$T$6:$T$193, "&lt;"&amp;FN1)</f>
        <v>0</v>
      </c>
      <c r="FN17" s="123">
        <f>SUMIFS('Expenditure Breakdown'!$U$6:$U$193, 'Expenditure Breakdown'!$T$6:$T$193, "&gt;="&amp;FN1,'Expenditure Breakdown'!$T$6:$T$193, "&lt;"&amp;FO1)</f>
        <v>0</v>
      </c>
      <c r="FO17" s="123">
        <f>SUMIFS('Expenditure Breakdown'!$U$6:$U$193, 'Expenditure Breakdown'!$T$6:$T$193, "&gt;="&amp;FO1,'Expenditure Breakdown'!$T$6:$T$193, "&lt;"&amp;FP1)</f>
        <v>0</v>
      </c>
      <c r="FP17" s="123">
        <f>SUMIFS('Expenditure Breakdown'!$U$6:$U$193, 'Expenditure Breakdown'!$T$6:$T$193, "&gt;="&amp;FP1,'Expenditure Breakdown'!$T$6:$T$193, "&lt;"&amp;FQ1)</f>
        <v>0</v>
      </c>
      <c r="FQ17" s="123">
        <f>SUMIFS('Expenditure Breakdown'!$U$6:$U$193, 'Expenditure Breakdown'!$T$6:$T$193, "&gt;="&amp;FQ1,'Expenditure Breakdown'!$T$6:$T$193, "&lt;"&amp;FR1)</f>
        <v>0</v>
      </c>
      <c r="FR17" s="123">
        <f>SUMIFS('Expenditure Breakdown'!$U$6:$U$193, 'Expenditure Breakdown'!$T$6:$T$193, "&gt;="&amp;FR1,'Expenditure Breakdown'!$T$6:$T$193, "&lt;"&amp;FS1)</f>
        <v>0</v>
      </c>
      <c r="FS17" s="123">
        <f>SUMIFS('Expenditure Breakdown'!$U$6:$U$193, 'Expenditure Breakdown'!$T$6:$T$193, "&gt;="&amp;FS1,'Expenditure Breakdown'!$T$6:$T$193, "&lt;"&amp;FT1)</f>
        <v>0</v>
      </c>
      <c r="FT17" s="123">
        <f>SUMIFS('Expenditure Breakdown'!$U$6:$U$193, 'Expenditure Breakdown'!$T$6:$T$193, "&gt;="&amp;FT1,'Expenditure Breakdown'!$T$6:$T$193, "&lt;"&amp;FU1)</f>
        <v>0</v>
      </c>
      <c r="FU17" s="123">
        <f>SUMIFS('Expenditure Breakdown'!$U$6:$U$193, 'Expenditure Breakdown'!$T$6:$T$193, "&gt;="&amp;FU1,'Expenditure Breakdown'!$T$6:$T$193, "&lt;"&amp;FV1)</f>
        <v>0</v>
      </c>
      <c r="FV17" s="123">
        <f>SUMIFS('Expenditure Breakdown'!$U$6:$U$193, 'Expenditure Breakdown'!$T$6:$T$193, "&gt;="&amp;FV1,'Expenditure Breakdown'!$T$6:$T$193, "&lt;"&amp;FW1)</f>
        <v>0</v>
      </c>
      <c r="FW17" s="123">
        <f>SUMIFS('Expenditure Breakdown'!$U$6:$U$193, 'Expenditure Breakdown'!$T$6:$T$193, "&gt;="&amp;FW1,'Expenditure Breakdown'!$T$6:$T$193, "&lt;"&amp;FX1)</f>
        <v>0</v>
      </c>
      <c r="FX17" s="123">
        <f>SUMIFS('Expenditure Breakdown'!$U$6:$U$193, 'Expenditure Breakdown'!$T$6:$T$193, "&gt;="&amp;FX1,'Expenditure Breakdown'!$T$6:$T$193, "&lt;"&amp;FY1)</f>
        <v>0</v>
      </c>
      <c r="FY17" s="123">
        <f>SUMIFS('Expenditure Breakdown'!$U$6:$U$193, 'Expenditure Breakdown'!$T$6:$T$193, "&gt;="&amp;FY1,'Expenditure Breakdown'!$T$6:$T$193, "&lt;"&amp;FZ1)</f>
        <v>0</v>
      </c>
      <c r="FZ17" s="123">
        <f>SUMIFS('Expenditure Breakdown'!$U$6:$U$193, 'Expenditure Breakdown'!$T$6:$T$193, "&gt;="&amp;FZ1,'Expenditure Breakdown'!$T$6:$T$193, "&lt;"&amp;GA1)</f>
        <v>0</v>
      </c>
      <c r="GA17" s="123">
        <f>SUMIFS('Expenditure Breakdown'!$U$6:$U$193, 'Expenditure Breakdown'!$T$6:$T$193, "&gt;="&amp;GA1,'Expenditure Breakdown'!$T$6:$T$193, "&lt;"&amp;GB1)</f>
        <v>0</v>
      </c>
      <c r="GB17" s="123">
        <f>SUMIFS('Expenditure Breakdown'!$U$6:$U$193, 'Expenditure Breakdown'!$T$6:$T$193, "&gt;="&amp;GB1,'Expenditure Breakdown'!$T$6:$T$193, "&lt;"&amp;GC1)</f>
        <v>0</v>
      </c>
      <c r="GC17" s="123">
        <f>SUMIFS('Expenditure Breakdown'!$U$6:$U$193, 'Expenditure Breakdown'!$T$6:$T$193, "&gt;="&amp;GC1,'Expenditure Breakdown'!$T$6:$T$193, "&lt;"&amp;GD1)</f>
        <v>0</v>
      </c>
      <c r="GD17" s="123">
        <f>SUMIFS('Expenditure Breakdown'!$U$6:$U$193, 'Expenditure Breakdown'!$T$6:$T$193, "&gt;="&amp;GD1,'Expenditure Breakdown'!$T$6:$T$193, "&lt;"&amp;GE1)</f>
        <v>0</v>
      </c>
      <c r="GE17" s="123">
        <f>SUMIFS('Expenditure Breakdown'!$U$6:$U$193, 'Expenditure Breakdown'!$T$6:$T$193, "&gt;="&amp;GE1,'Expenditure Breakdown'!$T$6:$T$193, "&lt;"&amp;GF1)</f>
        <v>0</v>
      </c>
      <c r="GF17" s="123">
        <f>SUMIFS('Expenditure Breakdown'!$U$6:$U$193, 'Expenditure Breakdown'!$T$6:$T$193, "&gt;="&amp;GF1,'Expenditure Breakdown'!$T$6:$T$193, "&lt;"&amp;GG1)</f>
        <v>0</v>
      </c>
      <c r="GG17" s="123">
        <f>SUMIFS('Expenditure Breakdown'!$U$6:$U$193, 'Expenditure Breakdown'!$T$6:$T$193, "&gt;="&amp;GG1,'Expenditure Breakdown'!$T$6:$T$193, "&lt;"&amp;GH1)</f>
        <v>0</v>
      </c>
      <c r="GH17" s="123">
        <f>SUMIFS('Expenditure Breakdown'!$U$6:$U$193, 'Expenditure Breakdown'!$T$6:$T$193, "&gt;="&amp;GH1,'Expenditure Breakdown'!$T$6:$T$193, "&lt;"&amp;GI1)</f>
        <v>0</v>
      </c>
      <c r="GI17" s="123">
        <f>SUMIFS('Expenditure Breakdown'!$U$6:$U$193, 'Expenditure Breakdown'!$T$6:$T$193, "&gt;="&amp;GI1,'Expenditure Breakdown'!$T$6:$T$193, "&lt;"&amp;GJ1)</f>
        <v>0</v>
      </c>
      <c r="GJ17" s="123">
        <f>SUMIFS('Expenditure Breakdown'!$U$6:$U$193, 'Expenditure Breakdown'!$T$6:$T$193, "&gt;="&amp;GJ1,'Expenditure Breakdown'!$T$6:$T$193, "&lt;"&amp;GK1)</f>
        <v>0</v>
      </c>
      <c r="GK17" s="123">
        <f>SUMIFS('Expenditure Breakdown'!$U$6:$U$193, 'Expenditure Breakdown'!$T$6:$T$193, "&gt;="&amp;GK1,'Expenditure Breakdown'!$T$6:$T$193, "&lt;"&amp;GL1)</f>
        <v>0</v>
      </c>
      <c r="GL17" s="123">
        <f>SUMIFS('Expenditure Breakdown'!$U$6:$U$193, 'Expenditure Breakdown'!$T$6:$T$193, "&gt;="&amp;GL1,'Expenditure Breakdown'!$T$6:$T$193, "&lt;"&amp;GM1)</f>
        <v>0</v>
      </c>
      <c r="GM17" s="123">
        <f>SUMIFS('Expenditure Breakdown'!$U$6:$U$193, 'Expenditure Breakdown'!$T$6:$T$193, "&gt;="&amp;GM1,'Expenditure Breakdown'!$T$6:$T$193, "&lt;"&amp;GN1)</f>
        <v>0</v>
      </c>
      <c r="GN17" s="123">
        <f>SUMIFS('Expenditure Breakdown'!$U$6:$U$193, 'Expenditure Breakdown'!$T$6:$T$193, "&gt;="&amp;GN1,'Expenditure Breakdown'!$T$6:$T$193, "&lt;"&amp;GO1)</f>
        <v>0</v>
      </c>
      <c r="GO17" s="123">
        <f>SUMIFS('Expenditure Breakdown'!$U$6:$U$193, 'Expenditure Breakdown'!$T$6:$T$193, "&gt;="&amp;GO1,'Expenditure Breakdown'!$T$6:$T$193, "&lt;"&amp;GP1)</f>
        <v>0</v>
      </c>
      <c r="GP17" s="123">
        <f>SUMIFS('Expenditure Breakdown'!$U$6:$U$193, 'Expenditure Breakdown'!$T$6:$T$193, "&gt;="&amp;GP1,'Expenditure Breakdown'!$T$6:$T$193, "&lt;"&amp;GQ1)</f>
        <v>0</v>
      </c>
      <c r="GQ17" s="123">
        <f>SUMIFS('Expenditure Breakdown'!$U$6:$U$193, 'Expenditure Breakdown'!$T$6:$T$193, "&gt;="&amp;GQ1,'Expenditure Breakdown'!$T$6:$T$193, "&lt;"&amp;GR1)</f>
        <v>0</v>
      </c>
      <c r="GR17" s="123">
        <f>SUMIFS('Expenditure Breakdown'!$U$6:$U$193, 'Expenditure Breakdown'!$T$6:$T$193, "&gt;="&amp;GR1,'Expenditure Breakdown'!$T$6:$T$193, "&lt;"&amp;GS1)</f>
        <v>0</v>
      </c>
      <c r="GS17" s="123">
        <f>SUMIFS('Expenditure Breakdown'!$U$6:$U$193, 'Expenditure Breakdown'!$T$6:$T$193, "&gt;="&amp;GS1,'Expenditure Breakdown'!$T$6:$T$193, "&lt;"&amp;GT1)</f>
        <v>0</v>
      </c>
      <c r="GT17" s="123">
        <f>SUMIFS('Expenditure Breakdown'!$U$6:$U$193, 'Expenditure Breakdown'!$T$6:$T$193, "&gt;="&amp;GT1,'Expenditure Breakdown'!$T$6:$T$193, "&lt;"&amp;GU1)</f>
        <v>0</v>
      </c>
      <c r="GU17" s="123">
        <f>SUMIFS('Expenditure Breakdown'!$U$6:$U$193, 'Expenditure Breakdown'!$T$6:$T$193, "&gt;="&amp;GU1,'Expenditure Breakdown'!$T$6:$T$193, "&lt;"&amp;GV1)</f>
        <v>0</v>
      </c>
      <c r="GV17" s="123">
        <f>SUMIFS('Expenditure Breakdown'!$U$6:$U$193, 'Expenditure Breakdown'!$T$6:$T$193, "&gt;="&amp;GV1,'Expenditure Breakdown'!$T$6:$T$193, "&lt;"&amp;GW1)</f>
        <v>0</v>
      </c>
      <c r="GW17" s="123">
        <f>SUMIFS('Expenditure Breakdown'!$U$6:$U$193, 'Expenditure Breakdown'!$T$6:$T$193, "&gt;="&amp;GW1,'Expenditure Breakdown'!$T$6:$T$193, "&lt;"&amp;GX1)</f>
        <v>0</v>
      </c>
      <c r="GX17" s="123">
        <f>SUMIFS('Expenditure Breakdown'!$U$6:$U$193, 'Expenditure Breakdown'!$T$6:$T$193, "&gt;="&amp;GX1,'Expenditure Breakdown'!$T$6:$T$193, "&lt;"&amp;GY1)</f>
        <v>0</v>
      </c>
      <c r="GY17" s="123">
        <f>SUMIFS('Expenditure Breakdown'!$U$6:$U$193, 'Expenditure Breakdown'!$T$6:$T$193, "&gt;="&amp;GY1,'Expenditure Breakdown'!$T$6:$T$193, "&lt;"&amp;GZ1)</f>
        <v>0</v>
      </c>
      <c r="GZ17" s="123">
        <f>SUMIFS('Expenditure Breakdown'!$U$6:$U$193, 'Expenditure Breakdown'!$T$6:$T$193, "&gt;="&amp;GZ1,'Expenditure Breakdown'!$T$6:$T$193, "&lt;"&amp;HA1)</f>
        <v>0</v>
      </c>
      <c r="HA17" s="123">
        <f>SUMIFS('Expenditure Breakdown'!$U$6:$U$193, 'Expenditure Breakdown'!$T$6:$T$193, "&gt;="&amp;HA1,'Expenditure Breakdown'!$T$6:$T$193, "&lt;"&amp;HB1)</f>
        <v>0</v>
      </c>
      <c r="HB17" s="123">
        <f>SUMIFS('Expenditure Breakdown'!$U$6:$U$193, 'Expenditure Breakdown'!$T$6:$T$193, "&gt;="&amp;HB1,'Expenditure Breakdown'!$T$6:$T$193, "&lt;"&amp;HC1)</f>
        <v>0</v>
      </c>
      <c r="HC17" s="123">
        <f>SUMIFS('Expenditure Breakdown'!$U$6:$U$193, 'Expenditure Breakdown'!$T$6:$T$193, "&gt;="&amp;HC1,'Expenditure Breakdown'!$T$6:$T$193, "&lt;"&amp;HD1)</f>
        <v>0</v>
      </c>
      <c r="HD17" s="123">
        <f>SUMIFS('Expenditure Breakdown'!$U$6:$U$193, 'Expenditure Breakdown'!$T$6:$T$193, "&gt;="&amp;HD1,'Expenditure Breakdown'!$T$6:$T$193, "&lt;"&amp;HE1)</f>
        <v>0</v>
      </c>
      <c r="HE17" s="123">
        <f>SUMIFS('Expenditure Breakdown'!$U$6:$U$193, 'Expenditure Breakdown'!$T$6:$T$193, "&gt;="&amp;HE1,'Expenditure Breakdown'!$T$6:$T$193, "&lt;"&amp;HF1)</f>
        <v>0</v>
      </c>
      <c r="HF17" s="123">
        <f>SUMIFS('Expenditure Breakdown'!$U$6:$U$193, 'Expenditure Breakdown'!$T$6:$T$193, "&gt;="&amp;HF1,'Expenditure Breakdown'!$T$6:$T$193, "&lt;"&amp;HG1)</f>
        <v>0</v>
      </c>
      <c r="HG17" s="123">
        <f>SUMIFS('Expenditure Breakdown'!$U$6:$U$193, 'Expenditure Breakdown'!$T$6:$T$193, "&gt;="&amp;HG1,'Expenditure Breakdown'!$T$6:$T$193, "&lt;"&amp;HH1)</f>
        <v>0</v>
      </c>
      <c r="HH17" s="123">
        <f>SUMIFS('Expenditure Breakdown'!$U$6:$U$193, 'Expenditure Breakdown'!$T$6:$T$193, "&gt;="&amp;HH1,'Expenditure Breakdown'!$T$6:$T$193, "&lt;"&amp;HI1)</f>
        <v>0</v>
      </c>
      <c r="HI17" s="123">
        <f>SUMIFS('Expenditure Breakdown'!$U$6:$U$193, 'Expenditure Breakdown'!$T$6:$T$193, "&gt;="&amp;HI1,'Expenditure Breakdown'!$T$6:$T$193, "&lt;"&amp;HJ1)</f>
        <v>0</v>
      </c>
      <c r="HJ17" s="123">
        <f>SUMIFS('Expenditure Breakdown'!$U$6:$U$193, 'Expenditure Breakdown'!$T$6:$T$193, "&gt;="&amp;HJ1,'Expenditure Breakdown'!$T$6:$T$193, "&lt;"&amp;HK1)</f>
        <v>0</v>
      </c>
      <c r="HK17" s="123">
        <f>SUMIFS('Expenditure Breakdown'!$U$6:$U$193, 'Expenditure Breakdown'!$T$6:$T$193, "&gt;="&amp;HK1,'Expenditure Breakdown'!$T$6:$T$193, "&lt;"&amp;HL1)</f>
        <v>0</v>
      </c>
      <c r="HL17" s="123">
        <f>SUMIFS('Expenditure Breakdown'!$U$6:$U$193, 'Expenditure Breakdown'!$T$6:$T$193, "&gt;="&amp;HL1,'Expenditure Breakdown'!$T$6:$T$193, "&lt;"&amp;HM1)</f>
        <v>0</v>
      </c>
      <c r="HM17" s="123">
        <f>SUMIFS('Expenditure Breakdown'!$U$6:$U$193, 'Expenditure Breakdown'!$T$6:$T$193, "&gt;="&amp;HM1,'Expenditure Breakdown'!$T$6:$T$193, "&lt;"&amp;HN1)</f>
        <v>0</v>
      </c>
      <c r="HN17" s="123">
        <f>SUMIFS('Expenditure Breakdown'!$U$6:$U$193, 'Expenditure Breakdown'!$T$6:$T$193, "&gt;="&amp;HN1,'Expenditure Breakdown'!$T$6:$T$193, "&lt;"&amp;HO1)</f>
        <v>0</v>
      </c>
      <c r="HO17" s="123">
        <f>SUMIFS('Expenditure Breakdown'!$U$6:$U$193, 'Expenditure Breakdown'!$T$6:$T$193, "&gt;="&amp;HO1,'Expenditure Breakdown'!$T$6:$T$193, "&lt;"&amp;HP1)</f>
        <v>0</v>
      </c>
      <c r="HP17" s="123">
        <f>SUMIFS('Expenditure Breakdown'!$U$6:$U$193, 'Expenditure Breakdown'!$T$6:$T$193, "&gt;="&amp;HP1,'Expenditure Breakdown'!$T$6:$T$193, "&lt;"&amp;HQ1)</f>
        <v>0</v>
      </c>
      <c r="HQ17" s="123">
        <f>SUMIFS('Expenditure Breakdown'!$U$6:$U$193, 'Expenditure Breakdown'!$T$6:$T$193, "&gt;="&amp;HQ1,'Expenditure Breakdown'!$T$6:$T$193, "&lt;"&amp;HR1)</f>
        <v>0</v>
      </c>
      <c r="HR17" s="123">
        <f>SUMIFS('Expenditure Breakdown'!$U$6:$U$193, 'Expenditure Breakdown'!$T$6:$T$193, "&gt;="&amp;HR1,'Expenditure Breakdown'!$T$6:$T$193, "&lt;"&amp;HS1)</f>
        <v>0</v>
      </c>
      <c r="HS17" s="123">
        <f>SUMIFS('Expenditure Breakdown'!$U$6:$U$193, 'Expenditure Breakdown'!$T$6:$T$193, "&gt;="&amp;HS1,'Expenditure Breakdown'!$T$6:$T$193, "&lt;"&amp;HT1)</f>
        <v>0</v>
      </c>
      <c r="HT17" s="123">
        <f>SUMIFS('Expenditure Breakdown'!$U$6:$U$193, 'Expenditure Breakdown'!$T$6:$T$193, "&gt;="&amp;HT1,'Expenditure Breakdown'!$T$6:$T$193, "&lt;"&amp;HU1)</f>
        <v>0</v>
      </c>
      <c r="HU17" s="123">
        <f>SUMIFS('Expenditure Breakdown'!$U$6:$U$193, 'Expenditure Breakdown'!$T$6:$T$193, "&gt;="&amp;HU1,'Expenditure Breakdown'!$T$6:$T$193, "&lt;"&amp;HV1)</f>
        <v>0</v>
      </c>
      <c r="HV17" s="123">
        <f>SUMIFS('Expenditure Breakdown'!$U$6:$U$193, 'Expenditure Breakdown'!$T$6:$T$193, "&gt;="&amp;HV1,'Expenditure Breakdown'!$T$6:$T$193, "&lt;"&amp;HW1)</f>
        <v>0</v>
      </c>
      <c r="HW17" s="123">
        <f>SUMIFS('Expenditure Breakdown'!$U$6:$U$193, 'Expenditure Breakdown'!$T$6:$T$193, "&gt;="&amp;HW1,'Expenditure Breakdown'!$T$6:$T$193, "&lt;"&amp;HX1)</f>
        <v>0</v>
      </c>
      <c r="HX17" s="123">
        <f>SUMIFS('Expenditure Breakdown'!$U$6:$U$193, 'Expenditure Breakdown'!$T$6:$T$193, "&gt;="&amp;HX1,'Expenditure Breakdown'!$T$6:$T$193, "&lt;"&amp;HY1)</f>
        <v>0</v>
      </c>
      <c r="HY17" s="123">
        <f>SUMIFS('Expenditure Breakdown'!$U$6:$U$193, 'Expenditure Breakdown'!$T$6:$T$193, "&gt;="&amp;HY1,'Expenditure Breakdown'!$T$6:$T$193, "&lt;"&amp;HZ1)</f>
        <v>0</v>
      </c>
      <c r="HZ17" s="123">
        <f>SUMIFS('Expenditure Breakdown'!$U$6:$U$193, 'Expenditure Breakdown'!$T$6:$T$193, "&gt;="&amp;HZ1,'Expenditure Breakdown'!$T$6:$T$193, "&lt;"&amp;IA1)</f>
        <v>0</v>
      </c>
      <c r="IA17" s="123">
        <f>SUMIFS('Expenditure Breakdown'!$U$6:$U$193, 'Expenditure Breakdown'!$T$6:$T$193, "&gt;="&amp;IA1,'Expenditure Breakdown'!$T$6:$T$193, "&lt;"&amp;IB1)</f>
        <v>0</v>
      </c>
      <c r="IB17" s="123">
        <f>SUMIFS('Expenditure Breakdown'!$U$6:$U$193, 'Expenditure Breakdown'!$T$6:$T$193, "&gt;="&amp;IB1,'Expenditure Breakdown'!$T$6:$T$193, "&lt;"&amp;IC1)</f>
        <v>0</v>
      </c>
      <c r="IC17" s="123">
        <f>SUMIFS('Expenditure Breakdown'!$U$6:$U$193, 'Expenditure Breakdown'!$T$6:$T$193, "&gt;="&amp;IC1,'Expenditure Breakdown'!$T$6:$T$193, "&lt;"&amp;ID1)</f>
        <v>0</v>
      </c>
      <c r="ID17" s="123">
        <f>SUMIFS('Expenditure Breakdown'!$U$6:$U$193, 'Expenditure Breakdown'!$T$6:$T$193, "&gt;="&amp;ID1,'Expenditure Breakdown'!$T$6:$T$193, "&lt;"&amp;IE1)</f>
        <v>0</v>
      </c>
      <c r="IE17" s="123">
        <f>SUMIFS('Expenditure Breakdown'!$U$6:$U$193, 'Expenditure Breakdown'!$T$6:$T$193, "&gt;="&amp;IE1,'Expenditure Breakdown'!$T$6:$T$193, "&lt;"&amp;IF1)</f>
        <v>0</v>
      </c>
      <c r="IF17" s="123">
        <f>SUMIFS('Expenditure Breakdown'!$U$6:$U$193, 'Expenditure Breakdown'!$T$6:$T$193, "&gt;="&amp;IF1,'Expenditure Breakdown'!$T$6:$T$193, "&lt;"&amp;IG1)</f>
        <v>0</v>
      </c>
      <c r="IG17" s="123">
        <f>SUMIFS('Expenditure Breakdown'!$U$6:$U$193, 'Expenditure Breakdown'!$T$6:$T$193, "&gt;="&amp;IG1,'Expenditure Breakdown'!$T$6:$T$193, "&lt;"&amp;IH1)</f>
        <v>0</v>
      </c>
      <c r="IH17" s="123">
        <f>SUMIFS('Expenditure Breakdown'!$U$6:$U$193, 'Expenditure Breakdown'!$T$6:$T$193, "&gt;="&amp;IH1,'Expenditure Breakdown'!$T$6:$T$193, "&lt;"&amp;II1)</f>
        <v>0</v>
      </c>
      <c r="II17" s="123">
        <f>SUMIFS('Expenditure Breakdown'!$U$6:$U$193, 'Expenditure Breakdown'!$T$6:$T$193, "&gt;="&amp;II1,'Expenditure Breakdown'!$T$6:$T$193, "&lt;"&amp;IJ1)</f>
        <v>0</v>
      </c>
      <c r="IJ17" s="123">
        <f>SUMIFS('Expenditure Breakdown'!$U$6:$U$193, 'Expenditure Breakdown'!$T$6:$T$193, "&gt;="&amp;IJ1,'Expenditure Breakdown'!$T$6:$T$193, "&lt;"&amp;IK1)</f>
        <v>0</v>
      </c>
      <c r="IK17" s="123">
        <f>SUMIFS('Expenditure Breakdown'!$U$6:$U$193, 'Expenditure Breakdown'!$T$6:$T$193, "&gt;="&amp;IK1,'Expenditure Breakdown'!$T$6:$T$193, "&lt;"&amp;IL1)</f>
        <v>0</v>
      </c>
      <c r="IL17" s="123">
        <f>SUMIFS('Expenditure Breakdown'!$U$6:$U$193, 'Expenditure Breakdown'!$T$6:$T$193, "&gt;="&amp;IL1,'Expenditure Breakdown'!$T$6:$T$193, "&lt;"&amp;IM1)</f>
        <v>0</v>
      </c>
      <c r="IM17" s="123">
        <f>SUMIFS('Expenditure Breakdown'!$U$6:$U$193, 'Expenditure Breakdown'!$T$6:$T$193, "&gt;="&amp;IM1,'Expenditure Breakdown'!$T$6:$T$193, "&lt;"&amp;IN1)</f>
        <v>0</v>
      </c>
      <c r="IN17" s="123">
        <f>SUMIFS('Expenditure Breakdown'!$U$6:$U$193, 'Expenditure Breakdown'!$T$6:$T$193, "&gt;="&amp;IN1,'Expenditure Breakdown'!$T$6:$T$193, "&lt;"&amp;IO1)</f>
        <v>0</v>
      </c>
      <c r="IO17" s="123">
        <f>SUMIFS('Expenditure Breakdown'!$U$6:$U$193, 'Expenditure Breakdown'!$T$6:$T$193, "&gt;="&amp;IO1,'Expenditure Breakdown'!$T$6:$T$193, "&lt;"&amp;IP1)</f>
        <v>0</v>
      </c>
      <c r="IP17" s="123">
        <f>SUMIFS('Expenditure Breakdown'!$U$6:$U$193, 'Expenditure Breakdown'!$T$6:$T$193, "&gt;="&amp;IP1,'Expenditure Breakdown'!$T$6:$T$193, "&lt;"&amp;IQ1)</f>
        <v>0</v>
      </c>
      <c r="IQ17" s="123">
        <f>SUMIFS('Expenditure Breakdown'!$U$6:$U$193, 'Expenditure Breakdown'!$T$6:$T$193, "&gt;="&amp;IQ1,'Expenditure Breakdown'!$T$6:$T$193, "&lt;"&amp;IR1)</f>
        <v>0</v>
      </c>
      <c r="IR17" s="123">
        <f>SUMIFS('Expenditure Breakdown'!$U$6:$U$193, 'Expenditure Breakdown'!$T$6:$T$193, "&gt;="&amp;IR1,'Expenditure Breakdown'!$T$6:$T$193, "&lt;"&amp;IS1)</f>
        <v>0</v>
      </c>
      <c r="IS17" s="123">
        <f>SUMIFS('Expenditure Breakdown'!$U$6:$U$193, 'Expenditure Breakdown'!$T$6:$T$193, "&gt;="&amp;IS1,'Expenditure Breakdown'!$T$6:$T$193, "&lt;"&amp;IT1)</f>
        <v>0</v>
      </c>
      <c r="IT17" s="123">
        <f>SUMIFS('Expenditure Breakdown'!$U$6:$U$193, 'Expenditure Breakdown'!$T$6:$T$193, "&gt;="&amp;IT1,'Expenditure Breakdown'!$T$6:$T$193, "&lt;"&amp;IU1)</f>
        <v>0</v>
      </c>
      <c r="IU17" s="123">
        <f>SUMIFS('Expenditure Breakdown'!$U$6:$U$193, 'Expenditure Breakdown'!$T$6:$T$193, "&gt;="&amp;IU1,'Expenditure Breakdown'!$T$6:$T$193, "&lt;"&amp;IV1)</f>
        <v>0</v>
      </c>
      <c r="IV17" s="123">
        <f>SUMIFS('Expenditure Breakdown'!$U$6:$U$193, 'Expenditure Breakdown'!$T$6:$T$193, "&gt;="&amp;IV1,'Expenditure Breakdown'!$T$6:$T$193, "&lt;"&amp;IW1)</f>
        <v>0</v>
      </c>
      <c r="IW17" s="123">
        <f>SUMIFS('Expenditure Breakdown'!$U$6:$U$193, 'Expenditure Breakdown'!$T$6:$T$193, "&gt;="&amp;IW1,'Expenditure Breakdown'!$T$6:$T$193, "&lt;"&amp;IX1)</f>
        <v>0</v>
      </c>
      <c r="IX17" s="123">
        <f>SUMIFS('Expenditure Breakdown'!$U$6:$U$193, 'Expenditure Breakdown'!$T$6:$T$193, "&gt;="&amp;IX1,'Expenditure Breakdown'!$T$6:$T$193, "&lt;"&amp;IY1)</f>
        <v>0</v>
      </c>
      <c r="IY17" s="123">
        <f>SUMIFS('Expenditure Breakdown'!$U$6:$U$193, 'Expenditure Breakdown'!$T$6:$T$193, "&gt;="&amp;IY1,'Expenditure Breakdown'!$T$6:$T$193, "&lt;"&amp;IZ1)</f>
        <v>0</v>
      </c>
      <c r="IZ17" s="123">
        <f>SUMIFS('Expenditure Breakdown'!$U$6:$U$193, 'Expenditure Breakdown'!$T$6:$T$193, "&gt;="&amp;IZ1,'Expenditure Breakdown'!$T$6:$T$193, "&lt;"&amp;JA1)</f>
        <v>0</v>
      </c>
      <c r="JA17" s="123">
        <f>SUMIFS('Expenditure Breakdown'!$U$6:$U$193, 'Expenditure Breakdown'!$T$6:$T$193, "&gt;="&amp;JA1,'Expenditure Breakdown'!$T$6:$T$193, "&lt;"&amp;JB1)</f>
        <v>0</v>
      </c>
      <c r="JB17" s="123">
        <f>SUMIFS('Expenditure Breakdown'!$U$6:$U$193, 'Expenditure Breakdown'!$T$6:$T$193, "&gt;="&amp;JB1,'Expenditure Breakdown'!$T$6:$T$193, "&lt;"&amp;JC1)</f>
        <v>0</v>
      </c>
      <c r="JC17" s="123">
        <f>SUMIFS('Expenditure Breakdown'!$U$6:$U$193, 'Expenditure Breakdown'!$T$6:$T$193, "&gt;="&amp;JC1,'Expenditure Breakdown'!$T$6:$T$193, "&lt;"&amp;JD1)</f>
        <v>0</v>
      </c>
      <c r="JD17" s="123">
        <f>SUMIFS('Expenditure Breakdown'!$U$6:$U$193, 'Expenditure Breakdown'!$T$6:$T$193, "&gt;="&amp;JD1,'Expenditure Breakdown'!$T$6:$T$193, "&lt;"&amp;JE1)</f>
        <v>0</v>
      </c>
      <c r="JE17" s="123">
        <f>SUMIFS('Expenditure Breakdown'!$U$6:$U$193, 'Expenditure Breakdown'!$T$6:$T$193, "&gt;="&amp;JE1,'Expenditure Breakdown'!$T$6:$T$193, "&lt;"&amp;JF1)</f>
        <v>0</v>
      </c>
      <c r="JF17" s="123">
        <f>SUMIFS('Expenditure Breakdown'!$U$6:$U$193, 'Expenditure Breakdown'!$T$6:$T$193, "&gt;="&amp;JF1,'Expenditure Breakdown'!$T$6:$T$193, "&lt;"&amp;JG1)</f>
        <v>0</v>
      </c>
      <c r="JG17" s="123">
        <f>SUMIFS('Expenditure Breakdown'!$U$6:$U$193, 'Expenditure Breakdown'!$T$6:$T$193, "&gt;="&amp;JG1,'Expenditure Breakdown'!$T$6:$T$193, "&lt;"&amp;JH1)</f>
        <v>0</v>
      </c>
      <c r="JH17" s="123">
        <f>SUMIFS('Expenditure Breakdown'!$U$6:$U$193, 'Expenditure Breakdown'!$T$6:$T$193, "&gt;="&amp;JH1,'Expenditure Breakdown'!$T$6:$T$193, "&lt;"&amp;JI1)</f>
        <v>0</v>
      </c>
      <c r="JI17" s="123">
        <f>SUMIFS('Expenditure Breakdown'!$U$6:$U$193, 'Expenditure Breakdown'!$T$6:$T$193, "&gt;="&amp;JI1,'Expenditure Breakdown'!$T$6:$T$193, "&lt;"&amp;JJ1)</f>
        <v>0</v>
      </c>
      <c r="JJ17" s="123">
        <f>SUMIFS('Expenditure Breakdown'!$U$6:$U$193, 'Expenditure Breakdown'!$T$6:$T$193, "&gt;="&amp;JJ1,'Expenditure Breakdown'!$T$6:$T$193, "&lt;"&amp;JK1)</f>
        <v>0</v>
      </c>
      <c r="JK17" s="123">
        <f>SUMIFS('Expenditure Breakdown'!$U$6:$U$193, 'Expenditure Breakdown'!$T$6:$T$193, "&gt;="&amp;JK1,'Expenditure Breakdown'!$T$6:$T$193, "&lt;"&amp;JL1)</f>
        <v>0</v>
      </c>
      <c r="JL17" s="123">
        <f>SUMIFS('Expenditure Breakdown'!$U$6:$U$193, 'Expenditure Breakdown'!$T$6:$T$193, "&gt;="&amp;JL1,'Expenditure Breakdown'!$T$6:$T$193, "&lt;"&amp;JM1)</f>
        <v>0</v>
      </c>
      <c r="JM17" s="123">
        <f>SUMIFS('Expenditure Breakdown'!$U$6:$U$193, 'Expenditure Breakdown'!$T$6:$T$193, "&gt;="&amp;JM1,'Expenditure Breakdown'!$T$6:$T$193, "&lt;"&amp;JN1)</f>
        <v>0</v>
      </c>
      <c r="JN17" s="123">
        <f>SUMIFS('Expenditure Breakdown'!$U$6:$U$193, 'Expenditure Breakdown'!$T$6:$T$193, "&gt;="&amp;JN1,'Expenditure Breakdown'!$T$6:$T$193, "&lt;"&amp;JO1)</f>
        <v>0</v>
      </c>
      <c r="JO17" s="123">
        <f>SUMIFS('Expenditure Breakdown'!$U$6:$U$193, 'Expenditure Breakdown'!$T$6:$T$193, "&gt;="&amp;JO1,'Expenditure Breakdown'!$T$6:$T$193, "&lt;"&amp;JP1)</f>
        <v>0</v>
      </c>
      <c r="JP17" s="123">
        <f>SUMIFS('Expenditure Breakdown'!$U$6:$U$193, 'Expenditure Breakdown'!$T$6:$T$193, "&gt;="&amp;JP1,'Expenditure Breakdown'!$T$6:$T$193, "&lt;"&amp;JQ1)</f>
        <v>0</v>
      </c>
      <c r="JQ17" s="123">
        <f>SUMIFS('Expenditure Breakdown'!$U$6:$U$193, 'Expenditure Breakdown'!$T$6:$T$193, "&gt;="&amp;JQ1,'Expenditure Breakdown'!$T$6:$T$193, "&lt;"&amp;JR1)</f>
        <v>0</v>
      </c>
      <c r="JR17" s="123">
        <f>SUMIFS('Expenditure Breakdown'!$U$6:$U$193, 'Expenditure Breakdown'!$T$6:$T$193, "&gt;="&amp;JR1,'Expenditure Breakdown'!$T$6:$T$193, "&lt;"&amp;JS1)</f>
        <v>0</v>
      </c>
      <c r="JS17" s="123">
        <f>SUMIFS('Expenditure Breakdown'!$U$6:$U$193, 'Expenditure Breakdown'!$T$6:$T$193, "&gt;="&amp;JS1,'Expenditure Breakdown'!$T$6:$T$193, "&lt;"&amp;JT1)</f>
        <v>0</v>
      </c>
      <c r="JT17" s="123">
        <f>SUMIFS('Expenditure Breakdown'!$U$6:$U$193, 'Expenditure Breakdown'!$T$6:$T$193, "&gt;="&amp;JT1,'Expenditure Breakdown'!$T$6:$T$193, "&lt;"&amp;JU1)</f>
        <v>0</v>
      </c>
      <c r="JU17" s="123">
        <f>SUMIFS('Expenditure Breakdown'!$U$6:$U$193, 'Expenditure Breakdown'!$T$6:$T$193, "&gt;="&amp;JU1,'Expenditure Breakdown'!$T$6:$T$193, "&lt;"&amp;JV1)</f>
        <v>0</v>
      </c>
      <c r="JV17" s="123">
        <f>SUMIFS('Expenditure Breakdown'!$U$6:$U$193, 'Expenditure Breakdown'!$T$6:$T$193, "&gt;="&amp;JV1,'Expenditure Breakdown'!$T$6:$T$193, "&lt;"&amp;JW1)</f>
        <v>0</v>
      </c>
      <c r="JW17" s="123">
        <f>SUMIFS('Expenditure Breakdown'!$U$6:$U$193, 'Expenditure Breakdown'!$T$6:$T$193, "&gt;="&amp;JW1,'Expenditure Breakdown'!$T$6:$T$193, "&lt;"&amp;JX1)</f>
        <v>0</v>
      </c>
      <c r="JX17" s="123">
        <f>SUMIFS('Expenditure Breakdown'!$U$6:$U$193, 'Expenditure Breakdown'!$T$6:$T$193, "&gt;="&amp;JX1,'Expenditure Breakdown'!$T$6:$T$193, "&lt;"&amp;JY1)</f>
        <v>0</v>
      </c>
      <c r="JY17" s="123">
        <f>SUMIFS('Expenditure Breakdown'!$U$6:$U$193, 'Expenditure Breakdown'!$T$6:$T$193, "&gt;="&amp;JY1,'Expenditure Breakdown'!$T$6:$T$193, "&lt;"&amp;JZ1)</f>
        <v>0</v>
      </c>
      <c r="JZ17" s="123">
        <f>SUMIFS('Expenditure Breakdown'!$U$6:$U$193, 'Expenditure Breakdown'!$T$6:$T$193, "&gt;="&amp;JZ1,'Expenditure Breakdown'!$T$6:$T$193, "&lt;"&amp;KA1)</f>
        <v>0</v>
      </c>
      <c r="KA17" s="123">
        <f>SUMIFS('Expenditure Breakdown'!$U$6:$U$193, 'Expenditure Breakdown'!$T$6:$T$193, "&gt;="&amp;KA1,'Expenditure Breakdown'!$T$6:$T$193, "&lt;"&amp;KB1)</f>
        <v>0</v>
      </c>
      <c r="KB17" s="123">
        <f>SUMIFS('Expenditure Breakdown'!$U$6:$U$193, 'Expenditure Breakdown'!$T$6:$T$193, "&gt;="&amp;KB1,'Expenditure Breakdown'!$T$6:$T$193, "&lt;"&amp;KC1)</f>
        <v>0</v>
      </c>
      <c r="KC17" s="123">
        <f>SUMIFS('Expenditure Breakdown'!$U$6:$U$193, 'Expenditure Breakdown'!$T$6:$T$193, "&gt;="&amp;KC1,'Expenditure Breakdown'!$T$6:$T$193, "&lt;"&amp;KD1)</f>
        <v>0</v>
      </c>
      <c r="KD17" s="123">
        <f>SUMIFS('Expenditure Breakdown'!$U$6:$U$193, 'Expenditure Breakdown'!$T$6:$T$193, "&gt;="&amp;KD1,'Expenditure Breakdown'!$T$6:$T$193, "&lt;"&amp;KE1)</f>
        <v>0</v>
      </c>
      <c r="KE17" s="123">
        <f>SUMIFS('Expenditure Breakdown'!$U$6:$U$193, 'Expenditure Breakdown'!$T$6:$T$193, "&gt;="&amp;KE1,'Expenditure Breakdown'!$T$6:$T$193, "&lt;"&amp;KF1)</f>
        <v>0</v>
      </c>
      <c r="KF17" s="123">
        <f>SUMIFS('Expenditure Breakdown'!$U$6:$U$193, 'Expenditure Breakdown'!$T$6:$T$193, "&gt;="&amp;KF1,'Expenditure Breakdown'!$T$6:$T$193, "&lt;"&amp;#REF!)</f>
        <v>0</v>
      </c>
    </row>
    <row r="18" spans="1:292">
      <c r="A18" s="795"/>
      <c r="B18" s="104" t="s">
        <v>535</v>
      </c>
      <c r="C18" s="273">
        <f>D17-D18</f>
        <v>0</v>
      </c>
      <c r="D18" s="105">
        <f>MAX(F18:KF18)</f>
        <v>2792653.9759772802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2727994.4233701387</v>
      </c>
      <c r="AB18" s="123">
        <f t="shared" si="37"/>
        <v>2727994.4233701387</v>
      </c>
      <c r="AC18" s="123">
        <f t="shared" si="37"/>
        <v>2727994.4233701387</v>
      </c>
      <c r="AD18" s="123">
        <f>AC18+AD17</f>
        <v>2727994.4233701387</v>
      </c>
      <c r="AE18" s="123">
        <f t="shared" si="37"/>
        <v>2792653.9759772802</v>
      </c>
      <c r="AF18" s="123">
        <f t="shared" si="37"/>
        <v>2792653.9759772802</v>
      </c>
      <c r="AG18" s="123">
        <f t="shared" si="37"/>
        <v>2792653.9759772802</v>
      </c>
      <c r="AH18" s="123">
        <f t="shared" si="37"/>
        <v>2792653.9759772802</v>
      </c>
      <c r="AI18" s="123">
        <f t="shared" si="37"/>
        <v>2792653.9759772802</v>
      </c>
      <c r="AJ18" s="123">
        <f t="shared" si="37"/>
        <v>2792653.9759772802</v>
      </c>
      <c r="AK18" s="123">
        <f t="shared" si="37"/>
        <v>2792653.9759772802</v>
      </c>
      <c r="AL18" s="123">
        <f t="shared" si="37"/>
        <v>2792653.9759772802</v>
      </c>
      <c r="AM18" s="123">
        <f t="shared" si="37"/>
        <v>2792653.9759772802</v>
      </c>
      <c r="AN18" s="123">
        <f t="shared" si="37"/>
        <v>2792653.9759772802</v>
      </c>
      <c r="AO18" s="123">
        <f t="shared" si="37"/>
        <v>2792653.9759772802</v>
      </c>
      <c r="AP18" s="123">
        <f t="shared" si="37"/>
        <v>2792653.9759772802</v>
      </c>
      <c r="AQ18" s="123">
        <f t="shared" si="37"/>
        <v>2792653.9759772802</v>
      </c>
      <c r="AR18" s="123">
        <f t="shared" si="37"/>
        <v>2792653.9759772802</v>
      </c>
      <c r="AS18" s="123">
        <f t="shared" si="37"/>
        <v>2792653.9759772802</v>
      </c>
      <c r="AT18" s="123">
        <f t="shared" si="37"/>
        <v>2792653.9759772802</v>
      </c>
      <c r="AU18" s="123">
        <f t="shared" si="37"/>
        <v>2792653.9759772802</v>
      </c>
      <c r="AV18" s="123">
        <f t="shared" si="37"/>
        <v>2792653.9759772802</v>
      </c>
      <c r="AW18" s="123">
        <f t="shared" si="37"/>
        <v>2792653.9759772802</v>
      </c>
      <c r="AX18" s="123">
        <f t="shared" si="37"/>
        <v>2792653.9759772802</v>
      </c>
      <c r="AY18" s="123">
        <f t="shared" si="37"/>
        <v>2792653.9759772802</v>
      </c>
      <c r="AZ18" s="123">
        <f t="shared" si="37"/>
        <v>2792653.9759772802</v>
      </c>
      <c r="BA18" s="123">
        <f t="shared" si="37"/>
        <v>2792653.9759772802</v>
      </c>
      <c r="BB18" s="123">
        <f t="shared" si="37"/>
        <v>2792653.9759772802</v>
      </c>
      <c r="BC18" s="123">
        <f t="shared" si="37"/>
        <v>2792653.9759772802</v>
      </c>
      <c r="BD18" s="123">
        <f t="shared" si="37"/>
        <v>2792653.9759772802</v>
      </c>
      <c r="BE18" s="123">
        <f t="shared" si="37"/>
        <v>2792653.9759772802</v>
      </c>
      <c r="BF18" s="123">
        <f t="shared" si="37"/>
        <v>2792653.9759772802</v>
      </c>
      <c r="BG18" s="123">
        <f t="shared" si="37"/>
        <v>2792653.9759772802</v>
      </c>
      <c r="BH18" s="123">
        <f t="shared" si="37"/>
        <v>2792653.9759772802</v>
      </c>
      <c r="BI18" s="123">
        <f t="shared" si="37"/>
        <v>2792653.9759772802</v>
      </c>
      <c r="BJ18" s="123">
        <f t="shared" si="37"/>
        <v>2792653.9759772802</v>
      </c>
      <c r="BK18" s="123">
        <f t="shared" si="37"/>
        <v>2792653.9759772802</v>
      </c>
      <c r="BL18" s="123">
        <f t="shared" si="37"/>
        <v>2792653.9759772802</v>
      </c>
      <c r="BM18" s="123">
        <f t="shared" si="37"/>
        <v>2792653.9759772802</v>
      </c>
      <c r="BN18" s="123">
        <f t="shared" si="37"/>
        <v>2792653.9759772802</v>
      </c>
      <c r="BO18" s="123">
        <f t="shared" si="37"/>
        <v>2792653.9759772802</v>
      </c>
      <c r="BP18" s="123">
        <f t="shared" si="37"/>
        <v>2792653.9759772802</v>
      </c>
      <c r="BQ18" s="123">
        <f t="shared" si="37"/>
        <v>2792653.9759772802</v>
      </c>
      <c r="BR18" s="123">
        <f t="shared" si="37"/>
        <v>2792653.9759772802</v>
      </c>
      <c r="BS18" s="123">
        <f t="shared" si="37"/>
        <v>2792653.9759772802</v>
      </c>
      <c r="BT18" s="123">
        <f t="shared" si="37"/>
        <v>2792653.9759772802</v>
      </c>
      <c r="BU18" s="123">
        <f t="shared" ref="BU18:EF18" si="38">BT18+BU17</f>
        <v>2792653.9759772802</v>
      </c>
      <c r="BV18" s="123">
        <f t="shared" si="38"/>
        <v>2792653.9759772802</v>
      </c>
      <c r="BW18" s="123">
        <f t="shared" si="38"/>
        <v>2792653.9759772802</v>
      </c>
      <c r="BX18" s="123">
        <f t="shared" si="38"/>
        <v>2792653.9759772802</v>
      </c>
      <c r="BY18" s="123">
        <f t="shared" si="38"/>
        <v>2792653.9759772802</v>
      </c>
      <c r="BZ18" s="123">
        <f t="shared" si="38"/>
        <v>2792653.9759772802</v>
      </c>
      <c r="CA18" s="123">
        <f t="shared" si="38"/>
        <v>2792653.9759772802</v>
      </c>
      <c r="CB18" s="123">
        <f t="shared" si="38"/>
        <v>2792653.9759772802</v>
      </c>
      <c r="CC18" s="123">
        <f t="shared" si="38"/>
        <v>2792653.9759772802</v>
      </c>
      <c r="CD18" s="123">
        <f t="shared" si="38"/>
        <v>2792653.9759772802</v>
      </c>
      <c r="CE18" s="123">
        <f t="shared" si="38"/>
        <v>2792653.9759772802</v>
      </c>
      <c r="CF18" s="123">
        <f t="shared" si="38"/>
        <v>2792653.9759772802</v>
      </c>
      <c r="CG18" s="123">
        <f t="shared" si="38"/>
        <v>2792653.9759772802</v>
      </c>
      <c r="CH18" s="123">
        <f t="shared" si="38"/>
        <v>2792653.9759772802</v>
      </c>
      <c r="CI18" s="123">
        <f t="shared" si="38"/>
        <v>2792653.9759772802</v>
      </c>
      <c r="CJ18" s="123">
        <f t="shared" si="38"/>
        <v>2792653.9759772802</v>
      </c>
      <c r="CK18" s="123">
        <f t="shared" si="38"/>
        <v>2792653.9759772802</v>
      </c>
      <c r="CL18" s="123">
        <f t="shared" si="38"/>
        <v>2792653.9759772802</v>
      </c>
      <c r="CM18" s="123">
        <f t="shared" si="38"/>
        <v>2792653.9759772802</v>
      </c>
      <c r="CN18" s="123">
        <f t="shared" si="38"/>
        <v>2792653.9759772802</v>
      </c>
      <c r="CO18" s="123">
        <f t="shared" si="38"/>
        <v>2792653.9759772802</v>
      </c>
      <c r="CP18" s="123">
        <f t="shared" si="38"/>
        <v>2792653.9759772802</v>
      </c>
      <c r="CQ18" s="123">
        <f t="shared" si="38"/>
        <v>2792653.9759772802</v>
      </c>
      <c r="CR18" s="123">
        <f t="shared" si="38"/>
        <v>2792653.9759772802</v>
      </c>
      <c r="CS18" s="123">
        <f t="shared" si="38"/>
        <v>2792653.9759772802</v>
      </c>
      <c r="CT18" s="123">
        <f t="shared" si="38"/>
        <v>2792653.9759772802</v>
      </c>
      <c r="CU18" s="123">
        <f t="shared" si="38"/>
        <v>2792653.9759772802</v>
      </c>
      <c r="CV18" s="123">
        <f t="shared" si="38"/>
        <v>2792653.9759772802</v>
      </c>
      <c r="CW18" s="123">
        <f t="shared" si="38"/>
        <v>2792653.9759772802</v>
      </c>
      <c r="CX18" s="123">
        <f t="shared" si="38"/>
        <v>2792653.9759772802</v>
      </c>
      <c r="CY18" s="123">
        <f t="shared" si="38"/>
        <v>2792653.9759772802</v>
      </c>
      <c r="CZ18" s="123">
        <f t="shared" si="38"/>
        <v>2792653.9759772802</v>
      </c>
      <c r="DA18" s="123">
        <f t="shared" si="38"/>
        <v>2792653.9759772802</v>
      </c>
      <c r="DB18" s="123">
        <f t="shared" si="38"/>
        <v>2792653.9759772802</v>
      </c>
      <c r="DC18" s="123">
        <f t="shared" si="38"/>
        <v>2792653.9759772802</v>
      </c>
      <c r="DD18" s="123">
        <f t="shared" si="38"/>
        <v>2792653.9759772802</v>
      </c>
      <c r="DE18" s="123">
        <f t="shared" si="38"/>
        <v>2792653.9759772802</v>
      </c>
      <c r="DF18" s="123">
        <f t="shared" si="38"/>
        <v>2792653.9759772802</v>
      </c>
      <c r="DG18" s="123">
        <f t="shared" si="38"/>
        <v>2792653.9759772802</v>
      </c>
      <c r="DH18" s="123">
        <f t="shared" si="38"/>
        <v>2792653.9759772802</v>
      </c>
      <c r="DI18" s="123">
        <f t="shared" si="38"/>
        <v>2792653.9759772802</v>
      </c>
      <c r="DJ18" s="123">
        <f t="shared" si="38"/>
        <v>2792653.9759772802</v>
      </c>
      <c r="DK18" s="123">
        <f t="shared" si="38"/>
        <v>2792653.9759772802</v>
      </c>
      <c r="DL18" s="123">
        <f t="shared" si="38"/>
        <v>2792653.9759772802</v>
      </c>
      <c r="DM18" s="123">
        <f t="shared" si="38"/>
        <v>2792653.9759772802</v>
      </c>
      <c r="DN18" s="123">
        <f t="shared" si="38"/>
        <v>2792653.9759772802</v>
      </c>
      <c r="DO18" s="123">
        <f t="shared" si="38"/>
        <v>2792653.9759772802</v>
      </c>
      <c r="DP18" s="123">
        <f t="shared" si="38"/>
        <v>2792653.9759772802</v>
      </c>
      <c r="DQ18" s="123">
        <f t="shared" si="38"/>
        <v>2792653.9759772802</v>
      </c>
      <c r="DR18" s="123">
        <f t="shared" si="38"/>
        <v>2792653.9759772802</v>
      </c>
      <c r="DS18" s="123">
        <f t="shared" si="38"/>
        <v>2792653.9759772802</v>
      </c>
      <c r="DT18" s="123">
        <f t="shared" si="38"/>
        <v>2792653.9759772802</v>
      </c>
      <c r="DU18" s="123">
        <f t="shared" si="38"/>
        <v>2792653.9759772802</v>
      </c>
      <c r="DV18" s="123">
        <f t="shared" si="38"/>
        <v>2792653.9759772802</v>
      </c>
      <c r="DW18" s="123">
        <f t="shared" si="38"/>
        <v>2792653.9759772802</v>
      </c>
      <c r="DX18" s="123">
        <f t="shared" si="38"/>
        <v>2792653.9759772802</v>
      </c>
      <c r="DY18" s="123">
        <f t="shared" si="38"/>
        <v>2792653.9759772802</v>
      </c>
      <c r="DZ18" s="123">
        <f t="shared" si="38"/>
        <v>2792653.9759772802</v>
      </c>
      <c r="EA18" s="123">
        <f t="shared" si="38"/>
        <v>2792653.9759772802</v>
      </c>
      <c r="EB18" s="123">
        <f t="shared" si="38"/>
        <v>2792653.9759772802</v>
      </c>
      <c r="EC18" s="123">
        <f t="shared" si="38"/>
        <v>2792653.9759772802</v>
      </c>
      <c r="ED18" s="123">
        <f t="shared" si="38"/>
        <v>2792653.9759772802</v>
      </c>
      <c r="EE18" s="123">
        <f t="shared" si="38"/>
        <v>2792653.9759772802</v>
      </c>
      <c r="EF18" s="123">
        <f t="shared" si="38"/>
        <v>2792653.9759772802</v>
      </c>
      <c r="EG18" s="123">
        <f t="shared" ref="EG18:GR18" si="39">EF18+EG17</f>
        <v>2792653.9759772802</v>
      </c>
      <c r="EH18" s="123">
        <f t="shared" si="39"/>
        <v>2792653.9759772802</v>
      </c>
      <c r="EI18" s="123">
        <f t="shared" si="39"/>
        <v>2792653.9759772802</v>
      </c>
      <c r="EJ18" s="123">
        <f t="shared" si="39"/>
        <v>2792653.9759772802</v>
      </c>
      <c r="EK18" s="123">
        <f t="shared" si="39"/>
        <v>2792653.9759772802</v>
      </c>
      <c r="EL18" s="123">
        <f t="shared" si="39"/>
        <v>2792653.9759772802</v>
      </c>
      <c r="EM18" s="123">
        <f t="shared" si="39"/>
        <v>2792653.9759772802</v>
      </c>
      <c r="EN18" s="123">
        <f t="shared" si="39"/>
        <v>2792653.9759772802</v>
      </c>
      <c r="EO18" s="123">
        <f t="shared" si="39"/>
        <v>2792653.9759772802</v>
      </c>
      <c r="EP18" s="123">
        <f t="shared" si="39"/>
        <v>2792653.9759772802</v>
      </c>
      <c r="EQ18" s="123">
        <f t="shared" si="39"/>
        <v>2792653.9759772802</v>
      </c>
      <c r="ER18" s="123">
        <f t="shared" si="39"/>
        <v>2792653.9759772802</v>
      </c>
      <c r="ES18" s="123">
        <f t="shared" si="39"/>
        <v>2792653.9759772802</v>
      </c>
      <c r="ET18" s="123">
        <f t="shared" si="39"/>
        <v>2792653.9759772802</v>
      </c>
      <c r="EU18" s="123">
        <f t="shared" si="39"/>
        <v>2792653.9759772802</v>
      </c>
      <c r="EV18" s="123">
        <f t="shared" si="39"/>
        <v>2792653.9759772802</v>
      </c>
      <c r="EW18" s="123">
        <f t="shared" si="39"/>
        <v>2792653.9759772802</v>
      </c>
      <c r="EX18" s="123">
        <f t="shared" si="39"/>
        <v>2792653.9759772802</v>
      </c>
      <c r="EY18" s="123">
        <f t="shared" si="39"/>
        <v>2792653.9759772802</v>
      </c>
      <c r="EZ18" s="123">
        <f t="shared" si="39"/>
        <v>2792653.9759772802</v>
      </c>
      <c r="FA18" s="123">
        <f t="shared" si="39"/>
        <v>2792653.9759772802</v>
      </c>
      <c r="FB18" s="123">
        <f t="shared" si="39"/>
        <v>2792653.9759772802</v>
      </c>
      <c r="FC18" s="123">
        <f t="shared" si="39"/>
        <v>2792653.9759772802</v>
      </c>
      <c r="FD18" s="123">
        <f t="shared" si="39"/>
        <v>2792653.9759772802</v>
      </c>
      <c r="FE18" s="123">
        <f t="shared" si="39"/>
        <v>2792653.9759772802</v>
      </c>
      <c r="FF18" s="123">
        <f t="shared" si="39"/>
        <v>2792653.9759772802</v>
      </c>
      <c r="FG18" s="123">
        <f t="shared" si="39"/>
        <v>2792653.9759772802</v>
      </c>
      <c r="FH18" s="123">
        <f t="shared" si="39"/>
        <v>2792653.9759772802</v>
      </c>
      <c r="FI18" s="123">
        <f t="shared" si="39"/>
        <v>2792653.9759772802</v>
      </c>
      <c r="FJ18" s="123">
        <f t="shared" si="39"/>
        <v>2792653.9759772802</v>
      </c>
      <c r="FK18" s="123">
        <f t="shared" si="39"/>
        <v>2792653.9759772802</v>
      </c>
      <c r="FL18" s="123">
        <f t="shared" si="39"/>
        <v>2792653.9759772802</v>
      </c>
      <c r="FM18" s="123">
        <f t="shared" si="39"/>
        <v>2792653.9759772802</v>
      </c>
      <c r="FN18" s="123">
        <f t="shared" si="39"/>
        <v>2792653.9759772802</v>
      </c>
      <c r="FO18" s="123">
        <f t="shared" si="39"/>
        <v>2792653.9759772802</v>
      </c>
      <c r="FP18" s="123">
        <f t="shared" si="39"/>
        <v>2792653.9759772802</v>
      </c>
      <c r="FQ18" s="123">
        <f t="shared" si="39"/>
        <v>2792653.9759772802</v>
      </c>
      <c r="FR18" s="123">
        <f t="shared" si="39"/>
        <v>2792653.9759772802</v>
      </c>
      <c r="FS18" s="123">
        <f t="shared" si="39"/>
        <v>2792653.9759772802</v>
      </c>
      <c r="FT18" s="123">
        <f t="shared" si="39"/>
        <v>2792653.9759772802</v>
      </c>
      <c r="FU18" s="123">
        <f t="shared" si="39"/>
        <v>2792653.9759772802</v>
      </c>
      <c r="FV18" s="123">
        <f t="shared" si="39"/>
        <v>2792653.9759772802</v>
      </c>
      <c r="FW18" s="123">
        <f t="shared" si="39"/>
        <v>2792653.9759772802</v>
      </c>
      <c r="FX18" s="123">
        <f t="shared" si="39"/>
        <v>2792653.9759772802</v>
      </c>
      <c r="FY18" s="123">
        <f t="shared" si="39"/>
        <v>2792653.9759772802</v>
      </c>
      <c r="FZ18" s="123">
        <f t="shared" si="39"/>
        <v>2792653.9759772802</v>
      </c>
      <c r="GA18" s="123">
        <f t="shared" si="39"/>
        <v>2792653.9759772802</v>
      </c>
      <c r="GB18" s="123">
        <f t="shared" si="39"/>
        <v>2792653.9759772802</v>
      </c>
      <c r="GC18" s="123">
        <f t="shared" si="39"/>
        <v>2792653.9759772802</v>
      </c>
      <c r="GD18" s="123">
        <f t="shared" si="39"/>
        <v>2792653.9759772802</v>
      </c>
      <c r="GE18" s="123">
        <f t="shared" si="39"/>
        <v>2792653.9759772802</v>
      </c>
      <c r="GF18" s="123">
        <f t="shared" si="39"/>
        <v>2792653.9759772802</v>
      </c>
      <c r="GG18" s="123">
        <f t="shared" si="39"/>
        <v>2792653.9759772802</v>
      </c>
      <c r="GH18" s="123">
        <f t="shared" si="39"/>
        <v>2792653.9759772802</v>
      </c>
      <c r="GI18" s="123">
        <f t="shared" si="39"/>
        <v>2792653.9759772802</v>
      </c>
      <c r="GJ18" s="123">
        <f t="shared" si="39"/>
        <v>2792653.9759772802</v>
      </c>
      <c r="GK18" s="123">
        <f t="shared" si="39"/>
        <v>2792653.9759772802</v>
      </c>
      <c r="GL18" s="123">
        <f t="shared" si="39"/>
        <v>2792653.9759772802</v>
      </c>
      <c r="GM18" s="123">
        <f t="shared" si="39"/>
        <v>2792653.9759772802</v>
      </c>
      <c r="GN18" s="123">
        <f t="shared" si="39"/>
        <v>2792653.9759772802</v>
      </c>
      <c r="GO18" s="123">
        <f t="shared" si="39"/>
        <v>2792653.9759772802</v>
      </c>
      <c r="GP18" s="123">
        <f t="shared" si="39"/>
        <v>2792653.9759772802</v>
      </c>
      <c r="GQ18" s="123">
        <f t="shared" si="39"/>
        <v>2792653.9759772802</v>
      </c>
      <c r="GR18" s="123">
        <f t="shared" si="39"/>
        <v>2792653.9759772802</v>
      </c>
      <c r="GS18" s="123">
        <f t="shared" ref="GS18:JD18" si="40">GR18+GS17</f>
        <v>2792653.9759772802</v>
      </c>
      <c r="GT18" s="123">
        <f t="shared" si="40"/>
        <v>2792653.9759772802</v>
      </c>
      <c r="GU18" s="123">
        <f t="shared" si="40"/>
        <v>2792653.9759772802</v>
      </c>
      <c r="GV18" s="123">
        <f t="shared" si="40"/>
        <v>2792653.9759772802</v>
      </c>
      <c r="GW18" s="123">
        <f t="shared" si="40"/>
        <v>2792653.9759772802</v>
      </c>
      <c r="GX18" s="123">
        <f t="shared" si="40"/>
        <v>2792653.9759772802</v>
      </c>
      <c r="GY18" s="123">
        <f t="shared" si="40"/>
        <v>2792653.9759772802</v>
      </c>
      <c r="GZ18" s="123">
        <f t="shared" si="40"/>
        <v>2792653.9759772802</v>
      </c>
      <c r="HA18" s="123">
        <f t="shared" si="40"/>
        <v>2792653.9759772802</v>
      </c>
      <c r="HB18" s="123">
        <f t="shared" si="40"/>
        <v>2792653.9759772802</v>
      </c>
      <c r="HC18" s="123">
        <f t="shared" si="40"/>
        <v>2792653.9759772802</v>
      </c>
      <c r="HD18" s="123">
        <f t="shared" si="40"/>
        <v>2792653.9759772802</v>
      </c>
      <c r="HE18" s="123">
        <f t="shared" si="40"/>
        <v>2792653.9759772802</v>
      </c>
      <c r="HF18" s="123">
        <f t="shared" si="40"/>
        <v>2792653.9759772802</v>
      </c>
      <c r="HG18" s="123">
        <f t="shared" si="40"/>
        <v>2792653.9759772802</v>
      </c>
      <c r="HH18" s="123">
        <f t="shared" si="40"/>
        <v>2792653.9759772802</v>
      </c>
      <c r="HI18" s="123">
        <f t="shared" si="40"/>
        <v>2792653.9759772802</v>
      </c>
      <c r="HJ18" s="123">
        <f t="shared" si="40"/>
        <v>2792653.9759772802</v>
      </c>
      <c r="HK18" s="123">
        <f t="shared" si="40"/>
        <v>2792653.9759772802</v>
      </c>
      <c r="HL18" s="123">
        <f t="shared" si="40"/>
        <v>2792653.9759772802</v>
      </c>
      <c r="HM18" s="123">
        <f t="shared" si="40"/>
        <v>2792653.9759772802</v>
      </c>
      <c r="HN18" s="123">
        <f t="shared" si="40"/>
        <v>2792653.9759772802</v>
      </c>
      <c r="HO18" s="123">
        <f t="shared" si="40"/>
        <v>2792653.9759772802</v>
      </c>
      <c r="HP18" s="123">
        <f t="shared" si="40"/>
        <v>2792653.9759772802</v>
      </c>
      <c r="HQ18" s="123">
        <f t="shared" si="40"/>
        <v>2792653.9759772802</v>
      </c>
      <c r="HR18" s="123">
        <f t="shared" si="40"/>
        <v>2792653.9759772802</v>
      </c>
      <c r="HS18" s="123">
        <f t="shared" si="40"/>
        <v>2792653.9759772802</v>
      </c>
      <c r="HT18" s="123">
        <f t="shared" si="40"/>
        <v>2792653.9759772802</v>
      </c>
      <c r="HU18" s="123">
        <f t="shared" si="40"/>
        <v>2792653.9759772802</v>
      </c>
      <c r="HV18" s="123">
        <f t="shared" si="40"/>
        <v>2792653.9759772802</v>
      </c>
      <c r="HW18" s="123">
        <f t="shared" si="40"/>
        <v>2792653.9759772802</v>
      </c>
      <c r="HX18" s="123">
        <f t="shared" si="40"/>
        <v>2792653.9759772802</v>
      </c>
      <c r="HY18" s="123">
        <f t="shared" si="40"/>
        <v>2792653.9759772802</v>
      </c>
      <c r="HZ18" s="123">
        <f t="shared" si="40"/>
        <v>2792653.9759772802</v>
      </c>
      <c r="IA18" s="123">
        <f t="shared" si="40"/>
        <v>2792653.9759772802</v>
      </c>
      <c r="IB18" s="123">
        <f t="shared" si="40"/>
        <v>2792653.9759772802</v>
      </c>
      <c r="IC18" s="123">
        <f t="shared" si="40"/>
        <v>2792653.9759772802</v>
      </c>
      <c r="ID18" s="123">
        <f t="shared" si="40"/>
        <v>2792653.9759772802</v>
      </c>
      <c r="IE18" s="123">
        <f t="shared" si="40"/>
        <v>2792653.9759772802</v>
      </c>
      <c r="IF18" s="123">
        <f t="shared" si="40"/>
        <v>2792653.9759772802</v>
      </c>
      <c r="IG18" s="123">
        <f t="shared" si="40"/>
        <v>2792653.9759772802</v>
      </c>
      <c r="IH18" s="123">
        <f t="shared" si="40"/>
        <v>2792653.9759772802</v>
      </c>
      <c r="II18" s="123">
        <f t="shared" si="40"/>
        <v>2792653.9759772802</v>
      </c>
      <c r="IJ18" s="123">
        <f t="shared" si="40"/>
        <v>2792653.9759772802</v>
      </c>
      <c r="IK18" s="123">
        <f t="shared" si="40"/>
        <v>2792653.9759772802</v>
      </c>
      <c r="IL18" s="123">
        <f t="shared" si="40"/>
        <v>2792653.9759772802</v>
      </c>
      <c r="IM18" s="123">
        <f t="shared" si="40"/>
        <v>2792653.9759772802</v>
      </c>
      <c r="IN18" s="123">
        <f t="shared" si="40"/>
        <v>2792653.9759772802</v>
      </c>
      <c r="IO18" s="123">
        <f t="shared" si="40"/>
        <v>2792653.9759772802</v>
      </c>
      <c r="IP18" s="123">
        <f t="shared" si="40"/>
        <v>2792653.9759772802</v>
      </c>
      <c r="IQ18" s="123">
        <f t="shared" si="40"/>
        <v>2792653.9759772802</v>
      </c>
      <c r="IR18" s="123">
        <f t="shared" si="40"/>
        <v>2792653.9759772802</v>
      </c>
      <c r="IS18" s="123">
        <f t="shared" si="40"/>
        <v>2792653.9759772802</v>
      </c>
      <c r="IT18" s="123">
        <f t="shared" si="40"/>
        <v>2792653.9759772802</v>
      </c>
      <c r="IU18" s="123">
        <f t="shared" si="40"/>
        <v>2792653.9759772802</v>
      </c>
      <c r="IV18" s="123">
        <f t="shared" si="40"/>
        <v>2792653.9759772802</v>
      </c>
      <c r="IW18" s="123">
        <f t="shared" si="40"/>
        <v>2792653.9759772802</v>
      </c>
      <c r="IX18" s="123">
        <f t="shared" si="40"/>
        <v>2792653.9759772802</v>
      </c>
      <c r="IY18" s="123">
        <f t="shared" si="40"/>
        <v>2792653.9759772802</v>
      </c>
      <c r="IZ18" s="123">
        <f t="shared" si="40"/>
        <v>2792653.9759772802</v>
      </c>
      <c r="JA18" s="123">
        <f t="shared" si="40"/>
        <v>2792653.9759772802</v>
      </c>
      <c r="JB18" s="123">
        <f t="shared" si="40"/>
        <v>2792653.9759772802</v>
      </c>
      <c r="JC18" s="123">
        <f t="shared" si="40"/>
        <v>2792653.9759772802</v>
      </c>
      <c r="JD18" s="123">
        <f t="shared" si="40"/>
        <v>2792653.9759772802</v>
      </c>
      <c r="JE18" s="123">
        <f t="shared" ref="JE18:KF18" si="41">JD18+JE17</f>
        <v>2792653.9759772802</v>
      </c>
      <c r="JF18" s="123">
        <f t="shared" si="41"/>
        <v>2792653.9759772802</v>
      </c>
      <c r="JG18" s="123">
        <f t="shared" si="41"/>
        <v>2792653.9759772802</v>
      </c>
      <c r="JH18" s="123">
        <f t="shared" si="41"/>
        <v>2792653.9759772802</v>
      </c>
      <c r="JI18" s="123">
        <f t="shared" si="41"/>
        <v>2792653.9759772802</v>
      </c>
      <c r="JJ18" s="123">
        <f t="shared" si="41"/>
        <v>2792653.9759772802</v>
      </c>
      <c r="JK18" s="123">
        <f t="shared" si="41"/>
        <v>2792653.9759772802</v>
      </c>
      <c r="JL18" s="123">
        <f t="shared" si="41"/>
        <v>2792653.9759772802</v>
      </c>
      <c r="JM18" s="123">
        <f t="shared" si="41"/>
        <v>2792653.9759772802</v>
      </c>
      <c r="JN18" s="123">
        <f t="shared" si="41"/>
        <v>2792653.9759772802</v>
      </c>
      <c r="JO18" s="123">
        <f t="shared" si="41"/>
        <v>2792653.9759772802</v>
      </c>
      <c r="JP18" s="123">
        <f t="shared" si="41"/>
        <v>2792653.9759772802</v>
      </c>
      <c r="JQ18" s="123">
        <f t="shared" si="41"/>
        <v>2792653.9759772802</v>
      </c>
      <c r="JR18" s="123">
        <f t="shared" si="41"/>
        <v>2792653.9759772802</v>
      </c>
      <c r="JS18" s="123">
        <f t="shared" si="41"/>
        <v>2792653.9759772802</v>
      </c>
      <c r="JT18" s="123">
        <f t="shared" si="41"/>
        <v>2792653.9759772802</v>
      </c>
      <c r="JU18" s="123">
        <f t="shared" si="41"/>
        <v>2792653.9759772802</v>
      </c>
      <c r="JV18" s="123">
        <f t="shared" si="41"/>
        <v>2792653.9759772802</v>
      </c>
      <c r="JW18" s="123">
        <f t="shared" si="41"/>
        <v>2792653.9759772802</v>
      </c>
      <c r="JX18" s="123">
        <f t="shared" si="41"/>
        <v>2792653.9759772802</v>
      </c>
      <c r="JY18" s="123">
        <f t="shared" si="41"/>
        <v>2792653.9759772802</v>
      </c>
      <c r="JZ18" s="123">
        <f t="shared" si="41"/>
        <v>2792653.9759772802</v>
      </c>
      <c r="KA18" s="123">
        <f t="shared" si="41"/>
        <v>2792653.9759772802</v>
      </c>
      <c r="KB18" s="123">
        <f t="shared" si="41"/>
        <v>2792653.9759772802</v>
      </c>
      <c r="KC18" s="123">
        <f t="shared" si="41"/>
        <v>2792653.9759772802</v>
      </c>
      <c r="KD18" s="123">
        <f t="shared" si="41"/>
        <v>2792653.9759772802</v>
      </c>
      <c r="KE18" s="123">
        <f t="shared" si="41"/>
        <v>2792653.9759772802</v>
      </c>
      <c r="KF18" s="123">
        <f t="shared" si="41"/>
        <v>2792653.9759772802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B13" sqref="B13"/>
    </sheetView>
  </sheetViews>
  <sheetFormatPr defaultColWidth="12.5546875" defaultRowHeight="14.4"/>
  <cols>
    <col min="1" max="1" width="39.44140625" style="267" bestFit="1" customWidth="1"/>
    <col min="2" max="2" width="17.33203125" style="268" bestFit="1" customWidth="1"/>
    <col min="3" max="3" width="14.88671875" style="267" bestFit="1" customWidth="1"/>
    <col min="4" max="5" width="13.33203125" style="267" bestFit="1" customWidth="1"/>
    <col min="6" max="6" width="4.88671875" style="267" bestFit="1" customWidth="1"/>
    <col min="7" max="7" width="13.33203125" style="267" bestFit="1" customWidth="1"/>
    <col min="8" max="8" width="12" style="267" bestFit="1" customWidth="1"/>
    <col min="9" max="10" width="14.88671875" style="267" bestFit="1" customWidth="1"/>
    <col min="11" max="11" width="11.44140625" style="267" bestFit="1" customWidth="1"/>
    <col min="12" max="12" width="6.44140625" style="267" bestFit="1" customWidth="1"/>
    <col min="13" max="13" width="14.44140625" style="267" bestFit="1" customWidth="1"/>
    <col min="14" max="14" width="13.5546875" style="267" bestFit="1" customWidth="1"/>
    <col min="15" max="18" width="11.44140625" style="267" bestFit="1" customWidth="1"/>
    <col min="19" max="19" width="13.5546875" style="267" bestFit="1" customWidth="1"/>
    <col min="20" max="16384" width="12.554687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536</v>
      </c>
      <c r="B3" s="517" t="s">
        <v>537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538</v>
      </c>
      <c r="B4" t="s">
        <v>539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540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539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307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315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326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339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>
        <v>0</v>
      </c>
      <c r="H9" s="270">
        <v>5389.4970872034428</v>
      </c>
      <c r="I9" s="270">
        <v>184007.00230610836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378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23141.457934175331</v>
      </c>
      <c r="H10" s="270"/>
      <c r="I10" s="270">
        <v>168181.99716638814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391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396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436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441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447</v>
      </c>
      <c r="B15" s="270"/>
      <c r="C15" s="270">
        <v>10031.395141534613</v>
      </c>
      <c r="D15" s="270"/>
      <c r="E15" s="270">
        <v>20828.37915073966</v>
      </c>
      <c r="F15" s="270"/>
      <c r="G15" s="270"/>
      <c r="H15" s="270">
        <v>1362.2268334701441</v>
      </c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466</v>
      </c>
      <c r="B16" s="270">
        <v>0</v>
      </c>
      <c r="C16" s="270"/>
      <c r="D16" s="270"/>
      <c r="E16" s="270"/>
      <c r="F16" s="270"/>
      <c r="G16" s="270"/>
      <c r="H16" s="270">
        <v>25308</v>
      </c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470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352.40904696082617</v>
      </c>
      <c r="H17" s="270">
        <v>500.47168798406113</v>
      </c>
      <c r="I17" s="270">
        <v>4860.9952574864501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474</v>
      </c>
      <c r="B18" s="270"/>
      <c r="C18" s="270"/>
      <c r="D18" s="270">
        <v>23350</v>
      </c>
      <c r="E18" s="270">
        <v>2725</v>
      </c>
      <c r="F18" s="270"/>
      <c r="G18" s="270"/>
      <c r="H18" s="270">
        <v>2725</v>
      </c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463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393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540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135929.28881275631</v>
      </c>
      <c r="H21" s="270">
        <v>64821.879984604107</v>
      </c>
      <c r="I21" s="270">
        <v>2792816.3033547439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G21" sqref="G21"/>
    </sheetView>
  </sheetViews>
  <sheetFormatPr defaultColWidth="8.44140625" defaultRowHeight="14.4"/>
  <cols>
    <col min="1" max="1" width="21.6640625" bestFit="1" customWidth="1"/>
    <col min="2" max="2" width="17.33203125" style="306" bestFit="1" customWidth="1"/>
    <col min="3" max="3" width="9.44140625" style="306" bestFit="1" customWidth="1"/>
    <col min="4" max="4" width="14.88671875" style="306" bestFit="1" customWidth="1"/>
    <col min="5" max="6" width="13.33203125" style="306" bestFit="1" customWidth="1"/>
    <col min="7" max="7" width="13" style="306" bestFit="1" customWidth="1"/>
    <col min="8" max="8" width="13.33203125" style="306" bestFit="1" customWidth="1"/>
    <col min="9" max="9" width="14.88671875" style="306" bestFit="1" customWidth="1"/>
    <col min="10" max="10" width="14.88671875" bestFit="1" customWidth="1"/>
    <col min="11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9">
      <c r="A3" s="517" t="s">
        <v>541</v>
      </c>
      <c r="B3" s="517" t="s">
        <v>537</v>
      </c>
      <c r="C3"/>
      <c r="D3"/>
      <c r="E3"/>
      <c r="F3"/>
      <c r="G3"/>
      <c r="H3"/>
      <c r="I3"/>
    </row>
    <row r="4" spans="1:9">
      <c r="A4" s="517" t="s">
        <v>538</v>
      </c>
      <c r="B4" t="s">
        <v>539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540</v>
      </c>
    </row>
    <row r="5" spans="1:9">
      <c r="A5" s="343" t="s">
        <v>539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307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315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326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339</v>
      </c>
      <c r="B9" s="345"/>
      <c r="C9" s="345"/>
      <c r="D9" s="345">
        <v>110856.73</v>
      </c>
      <c r="E9" s="345"/>
      <c r="F9" s="345">
        <v>81078.844000000012</v>
      </c>
      <c r="G9" s="345">
        <v>-54600</v>
      </c>
      <c r="H9" s="345">
        <v>5791.3460000000005</v>
      </c>
      <c r="I9" s="345">
        <v>143126.92000000001</v>
      </c>
    </row>
    <row r="10" spans="1:9">
      <c r="A10" s="343" t="s">
        <v>378</v>
      </c>
      <c r="B10" s="345"/>
      <c r="C10" s="345"/>
      <c r="D10" s="345">
        <v>8598.34</v>
      </c>
      <c r="E10" s="345">
        <v>85415.11</v>
      </c>
      <c r="F10" s="345"/>
      <c r="G10" s="345">
        <v>11169</v>
      </c>
      <c r="H10" s="345"/>
      <c r="I10" s="345">
        <v>105182.45</v>
      </c>
    </row>
    <row r="11" spans="1:9">
      <c r="A11" s="343" t="s">
        <v>391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396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436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441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447</v>
      </c>
      <c r="B15" s="345"/>
      <c r="C15" s="345"/>
      <c r="D15" s="345">
        <v>42573.5</v>
      </c>
      <c r="E15" s="345"/>
      <c r="F15" s="345">
        <v>93350</v>
      </c>
      <c r="G15" s="345"/>
      <c r="H15" s="345">
        <v>6000</v>
      </c>
      <c r="I15" s="345">
        <v>141923.5</v>
      </c>
    </row>
    <row r="16" spans="1:9">
      <c r="A16" s="343" t="s">
        <v>466</v>
      </c>
      <c r="B16" s="345"/>
      <c r="C16" s="345"/>
      <c r="D16" s="345"/>
      <c r="E16" s="345"/>
      <c r="F16" s="345"/>
      <c r="G16" s="345"/>
      <c r="H16" s="345">
        <v>32269.137500000001</v>
      </c>
      <c r="I16" s="345">
        <v>32269.137500000001</v>
      </c>
    </row>
    <row r="17" spans="1:9">
      <c r="A17" s="343" t="s">
        <v>470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3332</v>
      </c>
      <c r="H17" s="345">
        <v>3500</v>
      </c>
      <c r="I17" s="345">
        <v>33994.93</v>
      </c>
    </row>
    <row r="18" spans="1:9">
      <c r="A18" s="343" t="s">
        <v>474</v>
      </c>
      <c r="B18" s="345"/>
      <c r="C18" s="345"/>
      <c r="D18" s="345"/>
      <c r="E18" s="345">
        <v>23350</v>
      </c>
      <c r="F18" s="345">
        <v>9223.93</v>
      </c>
      <c r="G18" s="345"/>
      <c r="H18" s="345">
        <v>11573</v>
      </c>
      <c r="I18" s="345">
        <v>44146.93</v>
      </c>
    </row>
    <row r="19" spans="1:9">
      <c r="A19" s="343" t="s">
        <v>463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393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540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70976</v>
      </c>
      <c r="H21" s="345">
        <v>104098.2115</v>
      </c>
      <c r="I21" s="345">
        <v>2665646.6775000002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5546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542</v>
      </c>
      <c r="F2" s="19" t="s">
        <v>543</v>
      </c>
    </row>
    <row r="3" spans="3:8">
      <c r="C3" s="15">
        <v>45658</v>
      </c>
      <c r="D3" s="9" t="s">
        <v>544</v>
      </c>
      <c r="F3" s="17" t="s">
        <v>88</v>
      </c>
    </row>
    <row r="4" spans="3:8">
      <c r="C4" s="15">
        <v>45737</v>
      </c>
      <c r="D4" s="9" t="s">
        <v>545</v>
      </c>
      <c r="F4" s="17" t="s">
        <v>96</v>
      </c>
    </row>
    <row r="5" spans="3:8">
      <c r="C5" s="15">
        <v>45765</v>
      </c>
      <c r="D5" s="9" t="s">
        <v>546</v>
      </c>
      <c r="F5" s="17" t="s">
        <v>547</v>
      </c>
    </row>
    <row r="6" spans="3:8" ht="13.8" thickBot="1">
      <c r="C6" s="15">
        <v>45768</v>
      </c>
      <c r="D6" s="9" t="s">
        <v>548</v>
      </c>
      <c r="F6" s="18" t="s">
        <v>549</v>
      </c>
    </row>
    <row r="7" spans="3:8">
      <c r="C7" s="15">
        <v>45774</v>
      </c>
      <c r="D7" s="9" t="s">
        <v>550</v>
      </c>
    </row>
    <row r="8" spans="3:8">
      <c r="C8" s="15">
        <v>45765</v>
      </c>
      <c r="D8" s="9" t="s">
        <v>551</v>
      </c>
    </row>
    <row r="9" spans="3:8">
      <c r="C9" s="15">
        <v>45778</v>
      </c>
      <c r="D9" s="9" t="s">
        <v>552</v>
      </c>
    </row>
    <row r="10" spans="3:8">
      <c r="C10" s="15">
        <v>45824</v>
      </c>
      <c r="D10" s="9" t="s">
        <v>553</v>
      </c>
    </row>
    <row r="11" spans="3:8">
      <c r="C11" s="15">
        <v>45878</v>
      </c>
      <c r="D11" s="9" t="s">
        <v>554</v>
      </c>
    </row>
    <row r="12" spans="3:8">
      <c r="C12" s="15">
        <v>45924</v>
      </c>
      <c r="D12" s="9" t="s">
        <v>555</v>
      </c>
    </row>
    <row r="13" spans="3:8">
      <c r="C13" s="15">
        <v>46007</v>
      </c>
      <c r="D13" s="9" t="s">
        <v>556</v>
      </c>
      <c r="F13" s="20"/>
      <c r="H13" s="9" t="s">
        <v>557</v>
      </c>
    </row>
    <row r="14" spans="3:8">
      <c r="C14" s="15">
        <v>46016</v>
      </c>
      <c r="D14" s="9" t="s">
        <v>558</v>
      </c>
    </row>
    <row r="15" spans="3:8">
      <c r="C15" s="15">
        <v>46017</v>
      </c>
      <c r="D15" s="9" t="s">
        <v>559</v>
      </c>
    </row>
    <row r="16" spans="3:8">
      <c r="C16" s="15">
        <v>46006</v>
      </c>
      <c r="D16" s="9" t="s">
        <v>560</v>
      </c>
    </row>
    <row r="17" spans="3:4">
      <c r="C17" s="15">
        <v>46007</v>
      </c>
      <c r="D17" s="9" t="s">
        <v>560</v>
      </c>
    </row>
    <row r="18" spans="3:4">
      <c r="C18" s="15">
        <v>46008</v>
      </c>
      <c r="D18" s="9" t="s">
        <v>560</v>
      </c>
    </row>
    <row r="19" spans="3:4">
      <c r="C19" s="15">
        <v>46009</v>
      </c>
      <c r="D19" s="9" t="s">
        <v>560</v>
      </c>
    </row>
    <row r="20" spans="3:4">
      <c r="C20" s="15">
        <v>46010</v>
      </c>
      <c r="D20" s="9" t="s">
        <v>560</v>
      </c>
    </row>
    <row r="21" spans="3:4">
      <c r="C21" s="15">
        <v>46011</v>
      </c>
      <c r="D21" s="9" t="s">
        <v>560</v>
      </c>
    </row>
    <row r="22" spans="3:4">
      <c r="C22" s="15">
        <v>46012</v>
      </c>
      <c r="D22" s="9" t="s">
        <v>560</v>
      </c>
    </row>
    <row r="23" spans="3:4">
      <c r="C23" s="15">
        <v>46013</v>
      </c>
      <c r="D23" s="9" t="s">
        <v>560</v>
      </c>
    </row>
    <row r="24" spans="3:4">
      <c r="C24" s="15">
        <v>46014</v>
      </c>
      <c r="D24" s="9" t="s">
        <v>560</v>
      </c>
    </row>
    <row r="25" spans="3:4">
      <c r="C25" s="15">
        <v>46015</v>
      </c>
      <c r="D25" s="9" t="s">
        <v>560</v>
      </c>
    </row>
    <row r="26" spans="3:4">
      <c r="C26" s="15">
        <v>46016</v>
      </c>
      <c r="D26" s="9" t="s">
        <v>560</v>
      </c>
    </row>
    <row r="27" spans="3:4">
      <c r="C27" s="15">
        <v>46017</v>
      </c>
      <c r="D27" s="9" t="s">
        <v>560</v>
      </c>
    </row>
    <row r="28" spans="3:4">
      <c r="C28" s="15">
        <v>46018</v>
      </c>
      <c r="D28" s="9" t="s">
        <v>560</v>
      </c>
    </row>
    <row r="29" spans="3:4">
      <c r="C29" s="15">
        <v>46019</v>
      </c>
      <c r="D29" s="9" t="s">
        <v>560</v>
      </c>
    </row>
    <row r="30" spans="3:4">
      <c r="C30" s="15">
        <v>46020</v>
      </c>
      <c r="D30" s="9" t="s">
        <v>560</v>
      </c>
    </row>
    <row r="31" spans="3:4">
      <c r="C31" s="15">
        <v>46021</v>
      </c>
      <c r="D31" s="9" t="s">
        <v>560</v>
      </c>
    </row>
    <row r="32" spans="3:4">
      <c r="C32" s="15">
        <v>46022</v>
      </c>
      <c r="D32" s="9" t="s">
        <v>560</v>
      </c>
    </row>
    <row r="33" spans="3:4">
      <c r="C33" s="15">
        <v>46023</v>
      </c>
      <c r="D33" s="9" t="s">
        <v>560</v>
      </c>
    </row>
    <row r="34" spans="3:4">
      <c r="C34" s="15">
        <v>46024</v>
      </c>
      <c r="D34" s="9" t="s">
        <v>560</v>
      </c>
    </row>
    <row r="35" spans="3:4">
      <c r="C35" s="15">
        <v>46025</v>
      </c>
      <c r="D35" s="9" t="s">
        <v>560</v>
      </c>
    </row>
    <row r="36" spans="3:4">
      <c r="C36" s="15">
        <v>46026</v>
      </c>
      <c r="D36" s="9" t="s">
        <v>560</v>
      </c>
    </row>
    <row r="37" spans="3:4">
      <c r="C37" s="15">
        <v>46027</v>
      </c>
      <c r="D37" s="9" t="s">
        <v>560</v>
      </c>
    </row>
    <row r="38" spans="3:4">
      <c r="C38" s="15">
        <v>46028</v>
      </c>
      <c r="D38" s="9" t="s">
        <v>560</v>
      </c>
    </row>
    <row r="39" spans="3:4">
      <c r="C39" s="15">
        <v>46029</v>
      </c>
      <c r="D39" s="9" t="s">
        <v>560</v>
      </c>
    </row>
    <row r="40" spans="3:4">
      <c r="C40" s="15">
        <v>46030</v>
      </c>
      <c r="D40" s="9" t="s">
        <v>560</v>
      </c>
    </row>
    <row r="41" spans="3:4">
      <c r="C41" s="15">
        <v>46031</v>
      </c>
      <c r="D41" s="9" t="s">
        <v>560</v>
      </c>
    </row>
    <row r="42" spans="3:4">
      <c r="C42" s="15">
        <v>46032</v>
      </c>
      <c r="D42" s="9" t="s">
        <v>560</v>
      </c>
    </row>
    <row r="43" spans="3:4">
      <c r="C43" s="15">
        <v>46033</v>
      </c>
      <c r="D43" s="9" t="s">
        <v>560</v>
      </c>
    </row>
    <row r="44" spans="3:4">
      <c r="C44" s="15">
        <v>46034</v>
      </c>
      <c r="D44" s="9" t="s">
        <v>560</v>
      </c>
    </row>
    <row r="45" spans="3:4">
      <c r="C45" s="15">
        <v>46035</v>
      </c>
      <c r="D45" s="9" t="s">
        <v>560</v>
      </c>
    </row>
    <row r="46" spans="3:4">
      <c r="C46" s="15">
        <v>46036</v>
      </c>
      <c r="D46" s="9" t="s">
        <v>560</v>
      </c>
    </row>
    <row r="47" spans="3:4">
      <c r="C47" s="15">
        <v>46037</v>
      </c>
      <c r="D47" s="9" t="s">
        <v>560</v>
      </c>
    </row>
    <row r="48" spans="3:4">
      <c r="C48" s="15">
        <v>46038</v>
      </c>
      <c r="D48" s="9" t="s">
        <v>560</v>
      </c>
    </row>
    <row r="49" spans="3:4">
      <c r="C49" s="15">
        <v>46102</v>
      </c>
      <c r="D49" s="9" t="s">
        <v>545</v>
      </c>
    </row>
    <row r="50" spans="3:4">
      <c r="C50" s="15">
        <v>46115</v>
      </c>
      <c r="D50" s="9" t="s">
        <v>546</v>
      </c>
    </row>
    <row r="51" spans="3:4">
      <c r="C51" s="15">
        <v>46118</v>
      </c>
      <c r="D51" s="9" t="s">
        <v>548</v>
      </c>
    </row>
    <row r="52" spans="3:4">
      <c r="C52" s="15">
        <v>46139</v>
      </c>
      <c r="D52" s="9" t="s">
        <v>550</v>
      </c>
    </row>
    <row r="53" spans="3:4">
      <c r="C53" s="15">
        <v>46143</v>
      </c>
      <c r="D53" s="9" t="s">
        <v>552</v>
      </c>
    </row>
    <row r="54" spans="3:4">
      <c r="C54" s="15">
        <v>46189</v>
      </c>
      <c r="D54" s="9" t="s">
        <v>553</v>
      </c>
    </row>
    <row r="55" spans="3:4">
      <c r="C55" s="15">
        <v>46243</v>
      </c>
      <c r="D55" s="9" t="s">
        <v>554</v>
      </c>
    </row>
    <row r="56" spans="3:4">
      <c r="C56" s="15">
        <v>46244</v>
      </c>
      <c r="D56" s="9" t="s">
        <v>561</v>
      </c>
    </row>
    <row r="57" spans="3:4">
      <c r="C57" s="15">
        <v>46289</v>
      </c>
      <c r="D57" s="9" t="s">
        <v>555</v>
      </c>
    </row>
    <row r="58" spans="3:4">
      <c r="C58" s="15">
        <v>46372</v>
      </c>
      <c r="D58" s="9" t="s">
        <v>556</v>
      </c>
    </row>
    <row r="59" spans="3:4">
      <c r="C59" s="15">
        <v>46381</v>
      </c>
      <c r="D59" s="9" t="s">
        <v>558</v>
      </c>
    </row>
    <row r="60" spans="3:4" ht="13.8" thickBot="1">
      <c r="C60" s="16">
        <v>46382</v>
      </c>
      <c r="D60" s="9" t="s">
        <v>559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4BB9B5-52C4-4AFC-80C8-BE9A6FB13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Certificate - Financial Close</vt:lpstr>
      <vt:lpstr>Certificate - Planning</vt:lpstr>
      <vt:lpstr>Change Register</vt:lpstr>
      <vt:lpstr>Compliance</vt:lpstr>
      <vt:lpstr>Project Plan</vt:lpstr>
      <vt:lpstr>BOQ</vt:lpstr>
      <vt:lpstr>Revenue Tracking</vt:lpstr>
      <vt:lpstr>Expenditure Tracking</vt:lpstr>
      <vt:lpstr>Expenditure Breakdown</vt:lpstr>
      <vt:lpstr>Sheet1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2026-02-11T11:44:16Z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